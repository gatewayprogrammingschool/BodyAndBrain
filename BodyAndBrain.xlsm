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GitHub\BodyAndBrain\"/>
    </mc:Choice>
  </mc:AlternateContent>
  <xr:revisionPtr revIDLastSave="0" documentId="13_ncr:1_{2BE44B31-208D-4654-98C6-B244EF8F5316}" xr6:coauthVersionLast="47" xr6:coauthVersionMax="47" xr10:uidLastSave="{00000000-0000-0000-0000-000000000000}"/>
  <bookViews>
    <workbookView xWindow="-96" yWindow="-96" windowWidth="23232" windowHeight="12672" tabRatio="789" activeTab="5" xr2:uid="{00000000-000D-0000-FFFF-FFFF00000000}"/>
  </bookViews>
  <sheets>
    <sheet name="Character Sheet" sheetId="10" r:id="rId1"/>
    <sheet name="Skills" sheetId="1" r:id="rId2"/>
    <sheet name="Apprenticeships" sheetId="12" r:id="rId3"/>
    <sheet name="Starting Skills" sheetId="11" r:id="rId4"/>
    <sheet name="Racial Bonuses" sheetId="2" r:id="rId5"/>
    <sheet name="NPC Baselines" sheetId="13" r:id="rId6"/>
    <sheet name="Stat Bonuses" sheetId="5" r:id="rId7"/>
    <sheet name="Lists" sheetId="3" r:id="rId8"/>
    <sheet name="Spells" sheetId="4" r:id="rId9"/>
    <sheet name="Physical Attacks" sheetId="6" r:id="rId10"/>
    <sheet name="Spell Attacks" sheetId="7" r:id="rId11"/>
    <sheet name="General Manuevers" sheetId="8" r:id="rId12"/>
  </sheets>
  <functionGroups builtInGroupCount="19"/>
  <definedNames>
    <definedName name="aActor">Apprenticeships!$C$2:$AO$2</definedName>
    <definedName name="aAlchemy">Apprenticeships!$C$19:$AO$19</definedName>
    <definedName name="aAnimist">Apprenticeships!$C$15:$AO$15</definedName>
    <definedName name="aBurglar">Apprenticeships!$C$17:$AO$17</definedName>
    <definedName name="aFencing">Apprenticeships!$C$3:$AO$3</definedName>
    <definedName name="AgilityBonus">'Character Sheet'!$N$7</definedName>
    <definedName name="AgilityStat">'Character Sheet'!$H$7</definedName>
    <definedName name="aIllusions">Apprenticeships!$C$10:$AO$10</definedName>
    <definedName name="aKnight">Apprenticeships!$C$14:$AO$14</definedName>
    <definedName name="aLycanthropy">Apprenticeships!$C$5:$AO$5</definedName>
    <definedName name="aMonk">Apprenticeships!$C$7:$AO$7</definedName>
    <definedName name="aNecromancy">Apprenticeships!$C$11:$AO$11</definedName>
    <definedName name="aPickPocket">Apprenticeships!$C$18:$AO$18</definedName>
    <definedName name="aPolitician">Apprenticeships!$C$4:$AO$4</definedName>
    <definedName name="Apprenticeships">Apprenticeships!$A$1</definedName>
    <definedName name="ApprenticeshipsTable">Apprenticeships!$A$1:$AO$20</definedName>
    <definedName name="aPriesthood">Apprenticeships!$C$8:$AO$8</definedName>
    <definedName name="aScholar">Apprenticeships!$C$19:$AO$19</definedName>
    <definedName name="aScholarship">Apprenticeships!$C$20:$AO$20</definedName>
    <definedName name="aSoldier">Apprenticeships!$C$12:$AO$12</definedName>
    <definedName name="aSquire">Apprenticeships!$C$13:$AO$13</definedName>
    <definedName name="aTracker">Apprenticeships!$C$16:$AO$16</definedName>
    <definedName name="aUndeadHunter">Apprenticeships!$C$9:$AO$9</definedName>
    <definedName name="AvailableSkillPoints">'Character Sheet'!$X$1</definedName>
    <definedName name="AvailableTo">Apprenticeships!$B$1</definedName>
    <definedName name="aWrestling">Apprenticeships!$C$6:$AO$6</definedName>
    <definedName name="BalancingSkillLevel">'Character Sheet'!$X$25</definedName>
    <definedName name="BalancingSkillLevelBase">'Character Sheet'!$W$25</definedName>
    <definedName name="Bard">Skills!$H$1:$H$54</definedName>
    <definedName name="Berserker">Skills!$D$2:$D$54</definedName>
    <definedName name="Berzerker">Skills!$D$2:$D$54</definedName>
    <definedName name="BodyBonus">'Character Sheet'!$N$9</definedName>
    <definedName name="BodyDevelopmentSkillLevel">'Character Sheet'!$X$55</definedName>
    <definedName name="BodyDevelopmentSkillLevelBase">'Character Sheet'!$W$55</definedName>
    <definedName name="BodyGeneralSkillLevel">'Character Sheet'!$X$10</definedName>
    <definedName name="BodyGeneralSkillLevelBase">'Character Sheet'!$W$10</definedName>
    <definedName name="BodySkillPoints">'Character Sheet'!$P$9</definedName>
    <definedName name="Bonus1">'Stat Bonuses'!$B$3</definedName>
    <definedName name="Bonus10">'Stat Bonuses'!$B$12</definedName>
    <definedName name="Bonus11">'Stat Bonuses'!$B$9</definedName>
    <definedName name="Bonus2">'Stat Bonuses'!$B$4</definedName>
    <definedName name="Bonus3">'Stat Bonuses'!$B$5</definedName>
    <definedName name="Bonus4">'Stat Bonuses'!$B$6</definedName>
    <definedName name="Bonus5">'Stat Bonuses'!$B$7</definedName>
    <definedName name="Bonus6">'Stat Bonuses'!$B$8</definedName>
    <definedName name="Bonus7">'Stat Bonuses'!$B$10</definedName>
    <definedName name="Bonus8">'Stat Bonuses'!$B$11</definedName>
    <definedName name="Bonus9">'Stat Bonuses'!$B$12</definedName>
    <definedName name="BrainBonus">'Character Sheet'!$N$16</definedName>
    <definedName name="BrainGeneralSkillLevel">'Character Sheet'!$X$19</definedName>
    <definedName name="BrainGeneralSkillLevelBase">'Character Sheet'!$W$19</definedName>
    <definedName name="BrainSkillPoints">'Character Sheet'!$P$16</definedName>
    <definedName name="ChainSkillLevel">'Character Sheet'!$X$33</definedName>
    <definedName name="ChainSkillLevelBase">'Character Sheet'!$W$33</definedName>
    <definedName name="Cleric">Skills!$K$1:$K$54</definedName>
    <definedName name="ClimbSkillLevel">'Character Sheet'!$X$9</definedName>
    <definedName name="ClimbSkillLevelBase">'Character Sheet'!$W$9</definedName>
    <definedName name="ConjuringSkillLevel">'Character Sheet'!$X$48</definedName>
    <definedName name="ConjuringSkillLevelBase">'Character Sheet'!$W$48</definedName>
    <definedName name="Conjuror">Skills!$J$1:$J$54</definedName>
    <definedName name="ConstitutionBonus">'Character Sheet'!$N$8</definedName>
    <definedName name="ConstitutionStat">'Character Sheet'!$H$8</definedName>
    <definedName name="CurrentLevel">'Character Sheet'!$P$1</definedName>
    <definedName name="Dwarf">'Racial Bonuses'!$H$11:$H$19</definedName>
    <definedName name="DwarfResistances">'Racial Bonuses'!$G$22:$G$26</definedName>
    <definedName name="DwarfStatBonuses">'Racial Bonuses'!$F$3:$F$5,'Racial Bonuses'!$F$6:$F$8</definedName>
    <definedName name="DwarfStats">'Racial Bonuses'!$F$3:$F$8</definedName>
    <definedName name="EarnedSP">'Character Sheet'!$AP$5</definedName>
    <definedName name="Elf">'Racial Bonuses'!$G$11:$G$19</definedName>
    <definedName name="ElfResistances">'Racial Bonuses'!$F$22:$F$26</definedName>
    <definedName name="ElfStatBonuses">'Racial Bonuses'!$E$3:$E$5,'Racial Bonuses'!$E$6,'Racial Bonuses'!$E$7,'Racial Bonuses'!$E$8</definedName>
    <definedName name="ElfStats">'Racial Bonuses'!$E$3:$E$8</definedName>
    <definedName name="EnchantmentSkillLevel">'Character Sheet'!$X$47</definedName>
    <definedName name="EnchantmentSkillLevelBase">'Character Sheet'!$W$47</definedName>
    <definedName name="Feline">'Racial Bonuses'!$L$11:$L$19</definedName>
    <definedName name="FelineResistances">'Racial Bonuses'!$K$22:$K$26</definedName>
    <definedName name="FelineStatBonuses">'Racial Bonuses'!$J$3:$J$5,'Racial Bonuses'!$J$6:$J$8</definedName>
    <definedName name="FelineStats">'Racial Bonuses'!$J$3:$J$8</definedName>
    <definedName name="Fighter">Skills!$C$1:$C$54</definedName>
    <definedName name="GeneralSkillLevel">'Character Sheet'!$X$26</definedName>
    <definedName name="HalfElf">'Racial Bonuses'!$F$11:$F$19</definedName>
    <definedName name="HalfElfResistances">'Racial Bonuses'!$E$22:$E$26</definedName>
    <definedName name="HalfElfStatBonuses">'Racial Bonuses'!$D$3,'Racial Bonuses'!$D$4,'Racial Bonuses'!$D$5,'Racial Bonuses'!$D$6,'Racial Bonuses'!$D$7,'Racial Bonuses'!$D$8</definedName>
    <definedName name="HalfElfStats">'Racial Bonuses'!$D$3:$D$8</definedName>
    <definedName name="Halfling">'Racial Bonuses'!$I$11:$I$19</definedName>
    <definedName name="HalflingResistances">'Racial Bonuses'!$H$22:$H$26</definedName>
    <definedName name="HalflingStatBonuses">'Racial Bonuses'!$G$3:$G$5,'Racial Bonuses'!$G$6:$G$8</definedName>
    <definedName name="HalflingStats">'Racial Bonuses'!$G$3:$G$8</definedName>
    <definedName name="HelmSkillLevel">'Character Sheet'!$X$35</definedName>
    <definedName name="HelmSkillLevelBase">'Character Sheet'!$W$35</definedName>
    <definedName name="HidingSkillLevel">'Character Sheet'!$X$24</definedName>
    <definedName name="HidingSkillLevelBase">'Character Sheet'!$W$24</definedName>
    <definedName name="Human">'Racial Bonuses'!$E$11:$E$19</definedName>
    <definedName name="HumanResistances">'Racial Bonuses'!$D$22:$D$26</definedName>
    <definedName name="HumanStatBonuses">'Racial Bonuses'!$C$3,'Racial Bonuses'!$C$4,'Racial Bonuses'!$C$5,'Racial Bonuses'!$C$6,'Racial Bonuses'!$C$7,'Racial Bonuses'!$C$8</definedName>
    <definedName name="HumanStats">'Racial Bonuses'!$C$3:$C$8</definedName>
    <definedName name="IntelligenceBonus">'Character Sheet'!$N$13</definedName>
    <definedName name="IntelligenceStat">'Character Sheet'!$H$13</definedName>
    <definedName name="ItemLoreSkillLevel">'Character Sheet'!$X$16</definedName>
    <definedName name="ItemLoreSkillLevelBase">'Character Sheet'!$W$16</definedName>
    <definedName name="LeadershipSkillLevel">'Character Sheet'!$X$51</definedName>
    <definedName name="LeadershipSkillLevelBase">'Character Sheet'!$W$51</definedName>
    <definedName name="LocksSkillLevel">'Character Sheet'!$X$14</definedName>
    <definedName name="LocksSkillLevelBase">'Character Sheet'!$W$14</definedName>
    <definedName name="MixedGeneralSkillLevel">'Character Sheet'!$X$26</definedName>
    <definedName name="MixedGeneralSkillLevelBase">'Character Sheet'!$W$26</definedName>
    <definedName name="NaturalistSkillLevel">'Character Sheet'!$X$50</definedName>
    <definedName name="NaturalistSkillLevelBase">'Character Sheet'!$W$50</definedName>
    <definedName name="NoArmorSkillLevel">'Character Sheet'!$X$29</definedName>
    <definedName name="NoArmorSkillLevelBase">'Character Sheet'!$W$29</definedName>
    <definedName name="OldLevel">'Character Sheet'!$AP$7</definedName>
    <definedName name="Orc">'Racial Bonuses'!$K$11:$K$19</definedName>
    <definedName name="OrcResistances">'Racial Bonuses'!$J$22:$J$26</definedName>
    <definedName name="OrcStats">'Racial Bonuses'!$I$3:$I$8</definedName>
    <definedName name="Paladin">Skills!$E$1:$E$54</definedName>
    <definedName name="PerceptionSkillLevel">'Character Sheet'!$X$56</definedName>
    <definedName name="PerceptionSkillLevelBase">'Character Sheet'!$W$56</definedName>
    <definedName name="PersuasionSkillLevel">'Character Sheet'!$X$15</definedName>
    <definedName name="PersuasionSkillLevelBase">'Character Sheet'!$W$15</definedName>
    <definedName name="PietyBonus">'Character Sheet'!$N$15</definedName>
    <definedName name="PietyStat">'Character Sheet'!$H$15</definedName>
    <definedName name="PlateSkillLevel">'Character Sheet'!$X$34</definedName>
    <definedName name="PlateSkillLevelBase">'Character Sheet'!$W$34</definedName>
    <definedName name="PrayersSkillLevel">'Character Sheet'!$X$49</definedName>
    <definedName name="PrayersSkillLevelBase">'Character Sheet'!$W$49</definedName>
    <definedName name="PresenceBonus">'Character Sheet'!$N$14</definedName>
    <definedName name="PresenceStat">'Character Sheet'!$H$14</definedName>
    <definedName name="PrimaryMeleeSkillLevel">'Character Sheet'!$X$39</definedName>
    <definedName name="PrimaryMeleeSkillLevelBase">'Character Sheet'!$W$39</definedName>
    <definedName name="PrimaryMissileSkillLevel">'Character Sheet'!$X$40</definedName>
    <definedName name="PrimaryMissileSkillLevelBase">'Character Sheet'!$W$40</definedName>
    <definedName name="Professions">Skills!$C$1:$K$1</definedName>
    <definedName name="Races">'Racial Bonuses'!$C$2:$J$2</definedName>
    <definedName name="Ranger">Skills!$F$1:$F$54</definedName>
    <definedName name="ReadRunesSkillLevel">'Character Sheet'!$X$17</definedName>
    <definedName name="ReadRunesSkillLevelBase">'Character Sheet'!$W$17</definedName>
    <definedName name="Reptillian">'Racial Bonuses'!$J$11:$J$19</definedName>
    <definedName name="ReptillianResistances">'Racial Bonuses'!$I$22:$I$26</definedName>
    <definedName name="ReptillianStatBonuses">'Racial Bonuses'!$H$3:$H$5,'Racial Bonuses'!$H$6:$H$8</definedName>
    <definedName name="ReptillianStats">'Racial Bonuses'!$H$3:$H$8</definedName>
    <definedName name="ResistancesIndex">'Racial Bonuses'!$C$22:$C$26</definedName>
    <definedName name="RigidLeatherSkillLevel">'Character Sheet'!$X$32</definedName>
    <definedName name="RigidLeatherSkillLevelBase">'Character Sheet'!$W$32</definedName>
    <definedName name="RobesSkillLevel">'Character Sheet'!$X$30</definedName>
    <definedName name="RobesSkillLevelBase">'Character Sheet'!$W$30</definedName>
    <definedName name="Rogue">Skills!$G$1:$G$54</definedName>
    <definedName name="RolledTotal">'Character Sheet'!$H$50</definedName>
    <definedName name="RunSkillLevel">'Character Sheet'!$X$7</definedName>
    <definedName name="RunSkillLevelBase">'Character Sheet'!$W$7</definedName>
    <definedName name="SecondaryMeleeSkillLevel">'Character Sheet'!$X$41</definedName>
    <definedName name="SecondaryMeleeSkillLevelBase">'Character Sheet'!$W$41</definedName>
    <definedName name="SecondaryMissileSkillLevel">'Character Sheet'!$X$42</definedName>
    <definedName name="SecondaryMissileSkillLevelBase">'Character Sheet'!$W$42</definedName>
    <definedName name="SelectedApprenticeship">'Character Sheet'!$D$7</definedName>
    <definedName name="SelectedProfession">'Character Sheet'!$D$6</definedName>
    <definedName name="SelectedRace">'Character Sheet'!$D$5</definedName>
    <definedName name="ShieldSkillLevel">'Character Sheet'!$X$36</definedName>
    <definedName name="ShieldSkillLevelBase">'Character Sheet'!$W$36</definedName>
    <definedName name="Skill_Level">Skills!$M$3:$M$13</definedName>
    <definedName name="SkillLevelBonus">Skills!$N$3:$N$13</definedName>
    <definedName name="SkillList">Skills!$B$1:$B$54</definedName>
    <definedName name="SkillNames">Apprenticeships!$C$1:$AH$1</definedName>
    <definedName name="SkillPoints">'Stat Bonuses'!$L$2:$L$101</definedName>
    <definedName name="SkillPoints0">'Stat Bonuses'!$C$3</definedName>
    <definedName name="SkillPoints1">'Stat Bonuses'!$C$4</definedName>
    <definedName name="SkillPoints2">'Stat Bonuses'!$C$5</definedName>
    <definedName name="SkillPoints3">'Stat Bonuses'!$C$6</definedName>
    <definedName name="SkillPoints4">'Stat Bonuses'!$C$7</definedName>
    <definedName name="SkillPoints5">'Stat Bonuses'!$C$8</definedName>
    <definedName name="SkillPoints6">'Stat Bonuses'!$C$9</definedName>
    <definedName name="SkillPoints7">'Stat Bonuses'!$C$10</definedName>
    <definedName name="SkillPoints8">'Stat Bonuses'!$C$11</definedName>
    <definedName name="SkillPoints9">'Stat Bonuses'!$C$12</definedName>
    <definedName name="Skills">Apprenticeships!$C$1:$AO$1</definedName>
    <definedName name="SoftLeatherSkillLevel">'Character Sheet'!$X$31</definedName>
    <definedName name="SoftLeatherSkillLevelBase">'Character Sheet'!$W$31</definedName>
    <definedName name="SongsSkillLevel">'Character Sheet'!$X$52</definedName>
    <definedName name="SongsSkillLevelBase">'Character Sheet'!$W$52</definedName>
    <definedName name="SpellListList">Lists!$B$2:$J$3</definedName>
    <definedName name="SpellLists">Lists!$B$3:$J$3</definedName>
    <definedName name="SpendingSP">'Character Sheet'!$AE$1</definedName>
    <definedName name="SprintBaseLine">'Character Sheet'!$W$6</definedName>
    <definedName name="SprintSkillLevel">'Character Sheet'!$X$6</definedName>
    <definedName name="SprintSkillLevelBase">'Character Sheet'!$W$6</definedName>
    <definedName name="SprintThisLevel">'Character Sheet'!$V$6</definedName>
    <definedName name="StatBonus">'Stat Bonuses'!$K$2:$K$101</definedName>
    <definedName name="StealingSkillLevel">'Character Sheet'!$X$22</definedName>
    <definedName name="StealingSkillLevelBase">'Character Sheet'!$W$22</definedName>
    <definedName name="SteelingSkillLevel">'Character Sheet'!$X$22</definedName>
    <definedName name="StrengthBonus">'Character Sheet'!$N$6</definedName>
    <definedName name="StrengthStat">'Character Sheet'!$H$6</definedName>
    <definedName name="SwimSkillLevel">'Character Sheet'!$X$8</definedName>
    <definedName name="SwimSkillLevelBase">'Character Sheet'!$W$8</definedName>
    <definedName name="TertiaryMeleeSkillLevel">'Character Sheet'!$X$43</definedName>
    <definedName name="TertiaryMeleeSkillLevelBase">'Character Sheet'!$W$43</definedName>
    <definedName name="TertiaryMissileSkillLevel">'Character Sheet'!$X$44</definedName>
    <definedName name="TertiaryMissileSkillLevelBase">'Character Sheet'!$W$44</definedName>
    <definedName name="TrackingSkillLevel">'Character Sheet'!$X$23</definedName>
    <definedName name="TrackingSkillLevelBase">'Character Sheet'!$W$23</definedName>
    <definedName name="TrackingSkillLevle">'Character Sheet'!$X$23</definedName>
    <definedName name="TrapsSkillLevel">'Character Sheet'!$X$13</definedName>
    <definedName name="TrapsSkillLevelBase">'Character Sheet'!$W$13</definedName>
    <definedName name="UsedSP">'Character Sheet'!$AP$6</definedName>
    <definedName name="UseItemSkillLevel">'Character Sheet'!$X$18</definedName>
    <definedName name="UseItemSkillLevelBase">'Character Sheet'!$W$18</definedName>
    <definedName name="Wizard">Skills!$I$1:$I$54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9" i="10" l="1"/>
  <c r="AC39" i="10" s="1"/>
  <c r="X40" i="10"/>
  <c r="AC40" i="10" s="1"/>
  <c r="X41" i="10"/>
  <c r="AC41" i="10" s="1"/>
  <c r="X42" i="10"/>
  <c r="AC42" i="10" s="1"/>
  <c r="X43" i="10"/>
  <c r="AC43" i="10" s="1"/>
  <c r="X44" i="10"/>
  <c r="AC44" i="10" s="1"/>
  <c r="AE1" i="10"/>
  <c r="T56" i="10"/>
  <c r="T55" i="10"/>
  <c r="T48" i="10"/>
  <c r="T49" i="10"/>
  <c r="T50" i="10"/>
  <c r="T51" i="10"/>
  <c r="T52" i="10"/>
  <c r="T47" i="10"/>
  <c r="T40" i="10"/>
  <c r="T41" i="10"/>
  <c r="T42" i="10"/>
  <c r="T43" i="10"/>
  <c r="T44" i="10"/>
  <c r="T39" i="10"/>
  <c r="T30" i="10"/>
  <c r="T31" i="10"/>
  <c r="T32" i="10"/>
  <c r="T33" i="10"/>
  <c r="T34" i="10"/>
  <c r="T35" i="10"/>
  <c r="T36" i="10"/>
  <c r="T29" i="10"/>
  <c r="T23" i="10"/>
  <c r="T24" i="10"/>
  <c r="T25" i="10"/>
  <c r="T26" i="10"/>
  <c r="T22" i="10"/>
  <c r="T14" i="10"/>
  <c r="T15" i="10"/>
  <c r="T16" i="10"/>
  <c r="T17" i="10"/>
  <c r="T18" i="10"/>
  <c r="T19" i="10"/>
  <c r="T13" i="10"/>
  <c r="T7" i="10"/>
  <c r="T8" i="10"/>
  <c r="T9" i="10"/>
  <c r="T10" i="10"/>
  <c r="T6" i="10"/>
  <c r="X48" i="10"/>
  <c r="X49" i="10"/>
  <c r="X50" i="10"/>
  <c r="X51" i="10"/>
  <c r="X52" i="10"/>
  <c r="X47" i="10"/>
  <c r="X30" i="10"/>
  <c r="X31" i="10"/>
  <c r="X32" i="10"/>
  <c r="X33" i="10"/>
  <c r="X34" i="10"/>
  <c r="X35" i="10"/>
  <c r="X36" i="10"/>
  <c r="X29" i="10"/>
  <c r="X23" i="10"/>
  <c r="X24" i="10"/>
  <c r="X25" i="10"/>
  <c r="X26" i="10"/>
  <c r="X22" i="10"/>
  <c r="X14" i="10"/>
  <c r="X15" i="10"/>
  <c r="X16" i="10"/>
  <c r="X17" i="10"/>
  <c r="X18" i="10"/>
  <c r="X19" i="10"/>
  <c r="X13" i="10"/>
  <c r="X7" i="10"/>
  <c r="X8" i="10"/>
  <c r="X9" i="10"/>
  <c r="X10" i="10"/>
  <c r="X6" i="10"/>
  <c r="X56" i="10"/>
  <c r="X55" i="10"/>
  <c r="AA7" i="10"/>
  <c r="AA17" i="10"/>
  <c r="AA34" i="10"/>
  <c r="AA33" i="10"/>
  <c r="AA29" i="10"/>
  <c r="AA24" i="10"/>
  <c r="AA41" i="10"/>
  <c r="AA50" i="10"/>
  <c r="AA44" i="10"/>
  <c r="AA8" i="10"/>
  <c r="AA42" i="10"/>
  <c r="AA15" i="10"/>
  <c r="AA51" i="10"/>
  <c r="AA30" i="10"/>
  <c r="AA19" i="10"/>
  <c r="AA31" i="10"/>
  <c r="AA13" i="10"/>
  <c r="AA39" i="10"/>
  <c r="AA23" i="10"/>
  <c r="AA14" i="10"/>
  <c r="AA10" i="10"/>
  <c r="AA47" i="10"/>
  <c r="AA26" i="10"/>
  <c r="AA18" i="10"/>
  <c r="AA49" i="10"/>
  <c r="AA36" i="10"/>
  <c r="AA52" i="10"/>
  <c r="AA48" i="10"/>
  <c r="AA40" i="10"/>
  <c r="AA55" i="10"/>
  <c r="AA9" i="10"/>
  <c r="AA6" i="10"/>
  <c r="AA25" i="10"/>
  <c r="AA22" i="10"/>
  <c r="AA43" i="10"/>
  <c r="AA32" i="10"/>
  <c r="AA16" i="10"/>
  <c r="AA35" i="10"/>
  <c r="AA56" i="10"/>
  <c r="AC55" i="10" l="1"/>
  <c r="AC56" i="10"/>
  <c r="H51" i="10"/>
  <c r="H52" i="10" s="1"/>
  <c r="L101" i="5"/>
  <c r="P6" i="10" s="1"/>
  <c r="L100" i="5"/>
  <c r="L97" i="5"/>
  <c r="L98" i="5"/>
  <c r="L99" i="5"/>
  <c r="L96" i="5"/>
  <c r="P8" i="10" s="1"/>
  <c r="L92" i="5"/>
  <c r="L93" i="5"/>
  <c r="L94" i="5"/>
  <c r="L95" i="5"/>
  <c r="L91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77" i="5"/>
  <c r="P14" i="10" s="1"/>
  <c r="L52" i="5"/>
  <c r="P15" i="10" s="1"/>
  <c r="L53" i="5"/>
  <c r="L54" i="5"/>
  <c r="L55" i="5"/>
  <c r="L56" i="5"/>
  <c r="L57" i="5"/>
  <c r="L58" i="5"/>
  <c r="L59" i="5"/>
  <c r="L60" i="5"/>
  <c r="L61" i="5"/>
  <c r="P13" i="10" s="1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51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26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12" i="5"/>
  <c r="L4" i="5"/>
  <c r="L5" i="5"/>
  <c r="L6" i="5"/>
  <c r="L7" i="5"/>
  <c r="L8" i="5"/>
  <c r="L9" i="5"/>
  <c r="L10" i="5"/>
  <c r="L11" i="5"/>
  <c r="L3" i="5"/>
  <c r="L2" i="5"/>
  <c r="K97" i="5"/>
  <c r="K98" i="5"/>
  <c r="K99" i="5"/>
  <c r="K96" i="5"/>
  <c r="J23" i="10" s="1"/>
  <c r="K100" i="5"/>
  <c r="K101" i="5"/>
  <c r="J6" i="10" s="1"/>
  <c r="K92" i="5"/>
  <c r="K93" i="5"/>
  <c r="K94" i="5"/>
  <c r="K95" i="5"/>
  <c r="K91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77" i="5"/>
  <c r="J25" i="10" s="1"/>
  <c r="K52" i="5"/>
  <c r="J26" i="10" s="1"/>
  <c r="K53" i="5"/>
  <c r="K54" i="5"/>
  <c r="K55" i="5"/>
  <c r="K56" i="5"/>
  <c r="K57" i="5"/>
  <c r="K58" i="5"/>
  <c r="K59" i="5"/>
  <c r="K60" i="5"/>
  <c r="K61" i="5"/>
  <c r="J24" i="10" s="1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51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26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12" i="5"/>
  <c r="K4" i="5"/>
  <c r="K5" i="5"/>
  <c r="K6" i="5"/>
  <c r="K7" i="5"/>
  <c r="K8" i="5"/>
  <c r="K9" i="5"/>
  <c r="K10" i="5"/>
  <c r="K11" i="5"/>
  <c r="K3" i="5"/>
  <c r="K2" i="5"/>
  <c r="L7" i="10"/>
  <c r="L23" i="10"/>
  <c r="L14" i="10"/>
  <c r="L25" i="10"/>
  <c r="L6" i="10"/>
  <c r="L22" i="10"/>
  <c r="L15" i="10"/>
  <c r="L13" i="10"/>
  <c r="L26" i="10"/>
  <c r="L8" i="10"/>
  <c r="L24" i="10"/>
  <c r="J15" i="10" l="1"/>
  <c r="J7" i="10"/>
  <c r="P7" i="10"/>
  <c r="J14" i="10"/>
  <c r="N14" i="10" s="1"/>
  <c r="AE55" i="10" s="1"/>
  <c r="AK55" i="10" s="1"/>
  <c r="J8" i="10"/>
  <c r="N8" i="10" s="1"/>
  <c r="AE56" i="10" s="1"/>
  <c r="AK56" i="10" s="1"/>
  <c r="J13" i="10"/>
  <c r="N13" i="10" s="1"/>
  <c r="J22" i="10"/>
  <c r="N22" i="10" s="1"/>
  <c r="N23" i="10"/>
  <c r="N24" i="10"/>
  <c r="N25" i="10"/>
  <c r="N26" i="10"/>
  <c r="P9" i="10"/>
  <c r="P16" i="10"/>
  <c r="N15" i="10"/>
  <c r="N7" i="10"/>
  <c r="N6" i="10"/>
  <c r="AP5" i="10" l="1"/>
  <c r="X1" i="10" s="1"/>
  <c r="AE39" i="10"/>
  <c r="AE41" i="10"/>
  <c r="AE43" i="10"/>
  <c r="AE40" i="10"/>
  <c r="AE42" i="10"/>
  <c r="AE44" i="10"/>
  <c r="AE7" i="10"/>
  <c r="AE6" i="10" s="1"/>
  <c r="AE52" i="10"/>
  <c r="AE48" i="10"/>
  <c r="AE51" i="10"/>
  <c r="AE47" i="10"/>
  <c r="AE49" i="10"/>
  <c r="AE50" i="10"/>
  <c r="AE9" i="10"/>
  <c r="AE36" i="10"/>
  <c r="AE35" i="10"/>
  <c r="AE34" i="10"/>
  <c r="AE33" i="10"/>
  <c r="AE32" i="10"/>
  <c r="AE31" i="10"/>
  <c r="AE30" i="10"/>
  <c r="AE29" i="10"/>
  <c r="N16" i="10"/>
  <c r="AE19" i="10" s="1"/>
  <c r="N9" i="10"/>
  <c r="AE10" i="10" s="1"/>
  <c r="AE14" i="10"/>
  <c r="AE16" i="10"/>
  <c r="AE23" i="10"/>
  <c r="AE17" i="10"/>
  <c r="AE15" i="10"/>
  <c r="AE24" i="10"/>
  <c r="AE25" i="10"/>
  <c r="AE13" i="10"/>
  <c r="AE18" i="10"/>
  <c r="AE22" i="10"/>
  <c r="AK42" i="10"/>
  <c r="AK41" i="10"/>
  <c r="AK40" i="10"/>
  <c r="AK39" i="10"/>
  <c r="AK44" i="10"/>
  <c r="AK43" i="10"/>
  <c r="AE26" i="10" l="1"/>
  <c r="AC6" i="10"/>
  <c r="AC9" i="10"/>
  <c r="AC8" i="10"/>
  <c r="AC10" i="10"/>
  <c r="AC7" i="10"/>
  <c r="AC13" i="10"/>
  <c r="AC18" i="10"/>
  <c r="AC15" i="10"/>
  <c r="AC17" i="10"/>
  <c r="AC16" i="10"/>
  <c r="AC14" i="10"/>
  <c r="AC19" i="10"/>
  <c r="AC22" i="10"/>
  <c r="AC24" i="10"/>
  <c r="AC25" i="10"/>
  <c r="AC23" i="10"/>
  <c r="AC26" i="10"/>
  <c r="AC29" i="10"/>
  <c r="AC30" i="10"/>
  <c r="AC36" i="10"/>
  <c r="AC31" i="10"/>
  <c r="AC35" i="10"/>
  <c r="AC34" i="10"/>
  <c r="AC33" i="10"/>
  <c r="AC32" i="10"/>
  <c r="AC47" i="10"/>
  <c r="AC50" i="10"/>
  <c r="AC49" i="10"/>
  <c r="AC52" i="10"/>
  <c r="AC51" i="10"/>
  <c r="AC48" i="10"/>
  <c r="AK23" i="10"/>
  <c r="AK8" i="10"/>
  <c r="AK7" i="10"/>
  <c r="AK29" i="10"/>
  <c r="AK35" i="10"/>
  <c r="AK13" i="10"/>
  <c r="AK30" i="10"/>
  <c r="AK34" i="10"/>
  <c r="AK47" i="10"/>
  <c r="AK26" i="10"/>
  <c r="AK19" i="10"/>
  <c r="AK24" i="10"/>
  <c r="AK6" i="10"/>
  <c r="AK10" i="10"/>
  <c r="AK36" i="10"/>
  <c r="AK31" i="10"/>
  <c r="AK22" i="10"/>
  <c r="AK18" i="10"/>
  <c r="AK33" i="10"/>
  <c r="AK32" i="10"/>
  <c r="AK16" i="10"/>
  <c r="AK50" i="10"/>
  <c r="AK52" i="10"/>
  <c r="AK25" i="10"/>
  <c r="AK9" i="10"/>
  <c r="AK17" i="10"/>
  <c r="AK14" i="10"/>
  <c r="AK49" i="10"/>
  <c r="AK48" i="10"/>
  <c r="AK15" i="10"/>
  <c r="AK51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014087-AFF6-43EB-8440-45770EEA0E8C}" keepAlive="1" name="Query - SkillLevelBonuses" description="Connection to the 'SkillLevelBonuses' query in the workbook." type="5" refreshedVersion="6" background="1" saveData="1">
    <dbPr connection="Provider=Microsoft.Mashup.OleDb.1;Data Source=$Workbook$;Location=SkillLevelBonuses;Extended Properties=&quot;&quot;" command="SELECT * FROM [SkillLevelBonuses]"/>
  </connection>
</connections>
</file>

<file path=xl/sharedStrings.xml><?xml version="1.0" encoding="utf-8"?>
<sst xmlns="http://schemas.openxmlformats.org/spreadsheetml/2006/main" count="2105" uniqueCount="633">
  <si>
    <t>Strength</t>
  </si>
  <si>
    <t>Agility</t>
  </si>
  <si>
    <t>Constitution</t>
  </si>
  <si>
    <t>Intelligence</t>
  </si>
  <si>
    <t>Presence</t>
  </si>
  <si>
    <t>Body</t>
  </si>
  <si>
    <t>Mind</t>
  </si>
  <si>
    <t>Piety</t>
  </si>
  <si>
    <t>Primary Weapons</t>
  </si>
  <si>
    <t>Melee</t>
  </si>
  <si>
    <t>Missile</t>
  </si>
  <si>
    <t>Secondary Weapons</t>
  </si>
  <si>
    <t>Tertiary Weapons</t>
  </si>
  <si>
    <t>Paladin</t>
  </si>
  <si>
    <t>Ranger</t>
  </si>
  <si>
    <t>Rogue</t>
  </si>
  <si>
    <t>Bard</t>
  </si>
  <si>
    <t>Conjuror</t>
  </si>
  <si>
    <t>Cleric</t>
  </si>
  <si>
    <t>Wizard</t>
  </si>
  <si>
    <t>Perception</t>
  </si>
  <si>
    <t>Body Development</t>
  </si>
  <si>
    <t>Sprinting</t>
  </si>
  <si>
    <t>Running</t>
  </si>
  <si>
    <t>Swimming</t>
  </si>
  <si>
    <t>Climbing</t>
  </si>
  <si>
    <t>General</t>
  </si>
  <si>
    <t>Traps</t>
  </si>
  <si>
    <t>Locks</t>
  </si>
  <si>
    <t>Persuasion</t>
  </si>
  <si>
    <t>Item Lore</t>
  </si>
  <si>
    <t>Stealing</t>
  </si>
  <si>
    <t>Physical Activities</t>
  </si>
  <si>
    <t>Mental Activities</t>
  </si>
  <si>
    <t>Mixed Activities</t>
  </si>
  <si>
    <t>Tracking</t>
  </si>
  <si>
    <t>Hiding</t>
  </si>
  <si>
    <t>Balancing</t>
  </si>
  <si>
    <t>Armor</t>
  </si>
  <si>
    <t>None</t>
  </si>
  <si>
    <t>None/Light Clothing</t>
  </si>
  <si>
    <t>Heavy Clothing/Robes</t>
  </si>
  <si>
    <t>Soft Leather</t>
  </si>
  <si>
    <t>Rigid Leather</t>
  </si>
  <si>
    <t>Chain</t>
  </si>
  <si>
    <t>Plate</t>
  </si>
  <si>
    <t>Helm</t>
  </si>
  <si>
    <t>Shield</t>
  </si>
  <si>
    <t>Arcane</t>
  </si>
  <si>
    <t>Read Runes</t>
  </si>
  <si>
    <t>Use Item</t>
  </si>
  <si>
    <t>Enchantmant</t>
  </si>
  <si>
    <t>Prayer</t>
  </si>
  <si>
    <t>Conjuring</t>
  </si>
  <si>
    <t>7/-/-</t>
  </si>
  <si>
    <t>40/-/-</t>
  </si>
  <si>
    <t>30/-/-</t>
  </si>
  <si>
    <t>25/-/-</t>
  </si>
  <si>
    <t>7/12/20</t>
  </si>
  <si>
    <t>1/3/7</t>
  </si>
  <si>
    <t>1/3/3</t>
  </si>
  <si>
    <t>Human</t>
  </si>
  <si>
    <t>Half-Elf</t>
  </si>
  <si>
    <t>Elf</t>
  </si>
  <si>
    <t>Dwarf</t>
  </si>
  <si>
    <t>Halfling</t>
  </si>
  <si>
    <t>Feline</t>
  </si>
  <si>
    <t>Strenth</t>
  </si>
  <si>
    <t>Agility/Presence</t>
  </si>
  <si>
    <t>Agility/Intelligence</t>
  </si>
  <si>
    <t>Constitution/Presence</t>
  </si>
  <si>
    <t>Mind/Body</t>
  </si>
  <si>
    <t>Agility/Strength</t>
  </si>
  <si>
    <t>Agility/Constitution</t>
  </si>
  <si>
    <t>Strength/Constitution</t>
  </si>
  <si>
    <t>Presence/Piety</t>
  </si>
  <si>
    <t>Thief</t>
  </si>
  <si>
    <t>Conjurer</t>
  </si>
  <si>
    <t>Resistances</t>
  </si>
  <si>
    <t>Poison</t>
  </si>
  <si>
    <t>Disease</t>
  </si>
  <si>
    <t>Wizardry</t>
  </si>
  <si>
    <t>Curses</t>
  </si>
  <si>
    <t>Level</t>
  </si>
  <si>
    <t>Bonus</t>
  </si>
  <si>
    <t>Prayers</t>
  </si>
  <si>
    <t>Bolts</t>
  </si>
  <si>
    <t>Blasts</t>
  </si>
  <si>
    <t>Destroy</t>
  </si>
  <si>
    <t>Heal</t>
  </si>
  <si>
    <t>Curse</t>
  </si>
  <si>
    <t>Strengthen</t>
  </si>
  <si>
    <t>Quicken</t>
  </si>
  <si>
    <t>Hasten</t>
  </si>
  <si>
    <t>Sleep</t>
  </si>
  <si>
    <t>Focus</t>
  </si>
  <si>
    <t>Fear</t>
  </si>
  <si>
    <t>Confuse</t>
  </si>
  <si>
    <t>Crush</t>
  </si>
  <si>
    <t>Meditate</t>
  </si>
  <si>
    <t>Displace</t>
  </si>
  <si>
    <t>Read Mind</t>
  </si>
  <si>
    <t>Break Bonds</t>
  </si>
  <si>
    <t>Mind Control</t>
  </si>
  <si>
    <t>Dog</t>
  </si>
  <si>
    <t>Hawk</t>
  </si>
  <si>
    <t>Cougar</t>
  </si>
  <si>
    <t>Will</t>
  </si>
  <si>
    <t>Wolf</t>
  </si>
  <si>
    <t>Soul</t>
  </si>
  <si>
    <t>Dissentegration</t>
  </si>
  <si>
    <t>Bear</t>
  </si>
  <si>
    <t>Will 2</t>
  </si>
  <si>
    <t>Mind 2</t>
  </si>
  <si>
    <t>Pegasus</t>
  </si>
  <si>
    <t>Dragon</t>
  </si>
  <si>
    <t>Golem</t>
  </si>
  <si>
    <t>Body 2</t>
  </si>
  <si>
    <t>Stop Bleeding</t>
  </si>
  <si>
    <t>Cause Bleeding</t>
  </si>
  <si>
    <t>Stop Disease</t>
  </si>
  <si>
    <t>Stop Poison</t>
  </si>
  <si>
    <t>Turn Undead</t>
  </si>
  <si>
    <t>Cause Fear</t>
  </si>
  <si>
    <t>Weaken</t>
  </si>
  <si>
    <t>Harm</t>
  </si>
  <si>
    <t>Infection</t>
  </si>
  <si>
    <t>Remove Curse</t>
  </si>
  <si>
    <t>Bless</t>
  </si>
  <si>
    <t>Remove Blessing</t>
  </si>
  <si>
    <t>Revive Dead</t>
  </si>
  <si>
    <t>Track</t>
  </si>
  <si>
    <t>Embolden</t>
  </si>
  <si>
    <t>Restore</t>
  </si>
  <si>
    <t>Antidote</t>
  </si>
  <si>
    <t>Cure</t>
  </si>
  <si>
    <t>Sure Shot</t>
  </si>
  <si>
    <t>Unseen</t>
  </si>
  <si>
    <t>Bandage</t>
  </si>
  <si>
    <t>Discover</t>
  </si>
  <si>
    <t>Nauseate</t>
  </si>
  <si>
    <t>Fortify</t>
  </si>
  <si>
    <t>Reveal</t>
  </si>
  <si>
    <t>Calm</t>
  </si>
  <si>
    <t>Anxiety</t>
  </si>
  <si>
    <t>Blessings</t>
  </si>
  <si>
    <t>Leadership</t>
  </si>
  <si>
    <t>Naturalist</t>
  </si>
  <si>
    <t>List</t>
  </si>
  <si>
    <t>Name</t>
  </si>
  <si>
    <t>Type</t>
  </si>
  <si>
    <t>Targets</t>
  </si>
  <si>
    <t>Area</t>
  </si>
  <si>
    <t>Modifier</t>
  </si>
  <si>
    <t>Description</t>
  </si>
  <si>
    <t>Directed</t>
  </si>
  <si>
    <t>Range</t>
  </si>
  <si>
    <t>15 + Level</t>
  </si>
  <si>
    <t>25 + Level</t>
  </si>
  <si>
    <t>1/Level</t>
  </si>
  <si>
    <t>1D10</t>
  </si>
  <si>
    <t>3+Level</t>
  </si>
  <si>
    <t>1D4</t>
  </si>
  <si>
    <t>1D6</t>
  </si>
  <si>
    <t>1D8</t>
  </si>
  <si>
    <t>2D10</t>
  </si>
  <si>
    <t>1D4/target</t>
  </si>
  <si>
    <t>1D8/target</t>
  </si>
  <si>
    <t>A nauseating gas erupts in an area</t>
  </si>
  <si>
    <t>A bolt (type decided by caster) directed at a single target</t>
  </si>
  <si>
    <t>A blast (type decided by caster) explodes at a location</t>
  </si>
  <si>
    <t>+15 bonus to all actions</t>
  </si>
  <si>
    <t>Duration</t>
  </si>
  <si>
    <t>Immediate</t>
  </si>
  <si>
    <t>30 seconds</t>
  </si>
  <si>
    <t>5 minutes</t>
  </si>
  <si>
    <t>Target is crushed</t>
  </si>
  <si>
    <t>Single target within Range moved anywhere within same Range</t>
  </si>
  <si>
    <t>All bindings (physical or magical) are broken</t>
  </si>
  <si>
    <t>Target is immediately dissentegrated</t>
  </si>
  <si>
    <t>Target is made to sleep</t>
  </si>
  <si>
    <t>Target is panicked and cannot defend</t>
  </si>
  <si>
    <t>Touch</t>
  </si>
  <si>
    <t>10s/Level</t>
  </si>
  <si>
    <t>Target gains +15 to attacks and parrying</t>
  </si>
  <si>
    <t>Target gains -15 to attacks and spell casting</t>
  </si>
  <si>
    <t>Self</t>
  </si>
  <si>
    <t>Next spell cast gains +20</t>
  </si>
  <si>
    <t>One idea per 5 levels</t>
  </si>
  <si>
    <t>1s/Level</t>
  </si>
  <si>
    <t>Acts on behalf of the caster</t>
  </si>
  <si>
    <t>Conjures Level 1 Hawk</t>
  </si>
  <si>
    <t>Conjures Level 3 Dog</t>
  </si>
  <si>
    <t>Conjures Level 5 Cougar</t>
  </si>
  <si>
    <t>Conjures Level 7 Wolf</t>
  </si>
  <si>
    <t>Conjures Level 9 Bear</t>
  </si>
  <si>
    <t>Conjures Level 12 Pegasus</t>
  </si>
  <si>
    <t>Conjures Level 20 Golem</t>
  </si>
  <si>
    <t>Conjures Level 50 Dragon</t>
  </si>
  <si>
    <t>Until Killed</t>
  </si>
  <si>
    <t>10+Level</t>
  </si>
  <si>
    <t>Reduces all activites by modifier</t>
  </si>
  <si>
    <t>Reduces mental activities by modifier</t>
  </si>
  <si>
    <t>Reduces strength bonus by modifier</t>
  </si>
  <si>
    <t>4+1D4</t>
  </si>
  <si>
    <t>Target takes damage per round</t>
  </si>
  <si>
    <t>Targets take damage per round</t>
  </si>
  <si>
    <t>25+Level</t>
  </si>
  <si>
    <t>1D6 per 5 Levels</t>
  </si>
  <si>
    <t>Damages undead in area</t>
  </si>
  <si>
    <t>2D4</t>
  </si>
  <si>
    <t>Stops all poison DoT</t>
  </si>
  <si>
    <t>Stops any bleeding</t>
  </si>
  <si>
    <t>Heals and stops bleeding</t>
  </si>
  <si>
    <t>Stops all disease effects for caster and target</t>
  </si>
  <si>
    <t>Targets gain +15 to all attacks (+30 against undead)</t>
  </si>
  <si>
    <t>Removes all curses</t>
  </si>
  <si>
    <t>Revives being up to 1/5 level of caster</t>
  </si>
  <si>
    <t>20+Level</t>
  </si>
  <si>
    <t>1D4 per 5 Levels</t>
  </si>
  <si>
    <t>1D10 per 10 Levels</t>
  </si>
  <si>
    <t>2D10 per 5 Levels</t>
  </si>
  <si>
    <t>1D8 per 10 Levels</t>
  </si>
  <si>
    <t>1D10 per 5 Levels</t>
  </si>
  <si>
    <t>Reduces Body bonuses by modifier</t>
  </si>
  <si>
    <t>Target cannot attack for duration of spell</t>
  </si>
  <si>
    <t>Target takes damage for duration of spell</t>
  </si>
  <si>
    <t>All blessing are removed</t>
  </si>
  <si>
    <t>Target takes immediate damage</t>
  </si>
  <si>
    <t>Target receives -15 to all attacks (-30 against undead)</t>
  </si>
  <si>
    <t>Target receives infection which causes damage for the duration of the spell.  Target attempts disease resistance roll per round to break spell.</t>
  </si>
  <si>
    <t>Adds modifier to all attacks and RR for duration of spell</t>
  </si>
  <si>
    <t>Recovers health</t>
  </si>
  <si>
    <t>1D6 per 6 Levels</t>
  </si>
  <si>
    <t>Stops all poisons</t>
  </si>
  <si>
    <t>Stops all diseases</t>
  </si>
  <si>
    <t>1D4 per 4 Levels</t>
  </si>
  <si>
    <t>Adds modifier to Tracking skill for duration of spell</t>
  </si>
  <si>
    <t>Adds modifier to missile attack</t>
  </si>
  <si>
    <t>Adds modifier to hide skill for duration of spell</t>
  </si>
  <si>
    <t>1D4 per 4 levels</t>
  </si>
  <si>
    <t>Heals caster</t>
  </si>
  <si>
    <t>1D10  per 10 Levels</t>
  </si>
  <si>
    <t>Reveals all hidden or invisible items or targets for the duration of the spell.</t>
  </si>
  <si>
    <t>20'</t>
  </si>
  <si>
    <t>Songs</t>
  </si>
  <si>
    <t>+5 per 5 Levels</t>
  </si>
  <si>
    <t>Friends within area receive strength bonus modifier</t>
  </si>
  <si>
    <t>Friends within area receive agility bonus modifier</t>
  </si>
  <si>
    <t>Friends within area receive constitution bonus modifier</t>
  </si>
  <si>
    <t>Foes within area cannot hide or be invisible</t>
  </si>
  <si>
    <t>Friends within area operate at +10 bonus for all activities.</t>
  </si>
  <si>
    <t>Until stopped</t>
  </si>
  <si>
    <t>Foes within area operate at -15 for all activities</t>
  </si>
  <si>
    <t>Friends within area healed by modifier (to be rolled each round)</t>
  </si>
  <si>
    <t>11 to 25</t>
  </si>
  <si>
    <t>2 to 10</t>
  </si>
  <si>
    <t>Skill Points Per Level</t>
  </si>
  <si>
    <t>Starting Skill Points</t>
  </si>
  <si>
    <t>4/7/12</t>
  </si>
  <si>
    <t>2/6/10</t>
  </si>
  <si>
    <t>7/12/-</t>
  </si>
  <si>
    <t>No Metal</t>
  </si>
  <si>
    <t>No Helms</t>
  </si>
  <si>
    <t>No Armor</t>
  </si>
  <si>
    <t>No Shields</t>
  </si>
  <si>
    <t>No Sheilds</t>
  </si>
  <si>
    <t>1H Edge</t>
  </si>
  <si>
    <t>2H Edge</t>
  </si>
  <si>
    <t>1H Conc</t>
  </si>
  <si>
    <t>2H Conc</t>
  </si>
  <si>
    <t>Crossbow</t>
  </si>
  <si>
    <t>Thrown</t>
  </si>
  <si>
    <t>Shortbow</t>
  </si>
  <si>
    <t>Longbow</t>
  </si>
  <si>
    <t>Robes</t>
  </si>
  <si>
    <t>Soft</t>
  </si>
  <si>
    <t>Rigid</t>
  </si>
  <si>
    <t>Critical Type</t>
  </si>
  <si>
    <t>Slash</t>
  </si>
  <si>
    <t>Puncture</t>
  </si>
  <si>
    <t xml:space="preserve">Puncture </t>
  </si>
  <si>
    <t>Damage Taken</t>
  </si>
  <si>
    <t>Hits</t>
  </si>
  <si>
    <t>F</t>
  </si>
  <si>
    <t>2D6</t>
  </si>
  <si>
    <t>Crit</t>
  </si>
  <si>
    <t>Slash + 1</t>
  </si>
  <si>
    <t>Slash + 2</t>
  </si>
  <si>
    <t>Slash - 1</t>
  </si>
  <si>
    <t>Slash - 2</t>
  </si>
  <si>
    <t>Slash - 4</t>
  </si>
  <si>
    <t>Crush + 2</t>
  </si>
  <si>
    <t>Crush + 1</t>
  </si>
  <si>
    <t>Crush -1</t>
  </si>
  <si>
    <t>Puncture + 1</t>
  </si>
  <si>
    <t>Puncture - 1</t>
  </si>
  <si>
    <t>7,8</t>
  </si>
  <si>
    <t>5,6</t>
  </si>
  <si>
    <t>Calculating Attack Bonus</t>
  </si>
  <si>
    <t>Add</t>
  </si>
  <si>
    <t>Subtract</t>
  </si>
  <si>
    <t>Base Attack Bonus</t>
  </si>
  <si>
    <t>Weapon Bonus</t>
  </si>
  <si>
    <t>Armor Bonus</t>
  </si>
  <si>
    <t>Current HP &lt; 25%: 10</t>
  </si>
  <si>
    <t>Current HP &lt; 50%: 5</t>
  </si>
  <si>
    <t>Attacker Weapon Skill</t>
  </si>
  <si>
    <t>Def. Current HP &lt; 50%: 5</t>
  </si>
  <si>
    <t>Def. Current HP &lt; 25%: 10</t>
  </si>
  <si>
    <t>Def. Stunned: 15</t>
  </si>
  <si>
    <t>Def. Incapacitated: 20</t>
  </si>
  <si>
    <t>Defender Armor Skill</t>
  </si>
  <si>
    <t>Defender Magical Modifiers</t>
  </si>
  <si>
    <t>Attacker Magical Modifiers</t>
  </si>
  <si>
    <t>+1</t>
  </si>
  <si>
    <t>+2</t>
  </si>
  <si>
    <t>+1, +1/round</t>
  </si>
  <si>
    <t>+2, +1/round</t>
  </si>
  <si>
    <t>+3, +1/round</t>
  </si>
  <si>
    <t>+3, +2/round</t>
  </si>
  <si>
    <t>+3, +3/round</t>
  </si>
  <si>
    <t>+3</t>
  </si>
  <si>
    <t>+4</t>
  </si>
  <si>
    <t>+5</t>
  </si>
  <si>
    <t>+6</t>
  </si>
  <si>
    <t>+2, +2/round</t>
  </si>
  <si>
    <t>+4, +1/round</t>
  </si>
  <si>
    <t>+4, +2/round</t>
  </si>
  <si>
    <t>+5, +2/round</t>
  </si>
  <si>
    <t>+5, +3/round</t>
  </si>
  <si>
    <t>+7</t>
  </si>
  <si>
    <t>Critical Resolution:</t>
  </si>
  <si>
    <t>Critical Modifier</t>
  </si>
  <si>
    <t>Attacker 1D4</t>
  </si>
  <si>
    <t>Defender 1D4</t>
  </si>
  <si>
    <t>Less -3</t>
  </si>
  <si>
    <t>Greater 4</t>
  </si>
  <si>
    <t>+4, +3/round</t>
  </si>
  <si>
    <t>+6, +4/round</t>
  </si>
  <si>
    <t>+8</t>
  </si>
  <si>
    <t>Attack Roll Outcome</t>
  </si>
  <si>
    <t>2 to 25</t>
  </si>
  <si>
    <t>Roll + Bonus</t>
  </si>
  <si>
    <t>Miss</t>
  </si>
  <si>
    <t>26 to 49</t>
  </si>
  <si>
    <t>Hit / 2</t>
  </si>
  <si>
    <t>50 to 74</t>
  </si>
  <si>
    <t>Hit</t>
  </si>
  <si>
    <t>75 +</t>
  </si>
  <si>
    <t>Hit + Critical</t>
  </si>
  <si>
    <t>2x Hit + Critical</t>
  </si>
  <si>
    <t>Failure Resolution:</t>
  </si>
  <si>
    <t xml:space="preserve">Add </t>
  </si>
  <si>
    <t>Crit/Fum</t>
  </si>
  <si>
    <t>Weapon</t>
  </si>
  <si>
    <t>Outcome</t>
  </si>
  <si>
    <t>10, 11,12</t>
  </si>
  <si>
    <t>9,10</t>
  </si>
  <si>
    <t>Base Spell Attack Bonus</t>
  </si>
  <si>
    <t>Splash</t>
  </si>
  <si>
    <t>Kinetic</t>
  </si>
  <si>
    <t>Fire</t>
  </si>
  <si>
    <t>Cold</t>
  </si>
  <si>
    <t>Electric</t>
  </si>
  <si>
    <t>Calculate Spell Attack Bonus</t>
  </si>
  <si>
    <t>Level of Caster</t>
  </si>
  <si>
    <t>Caster Spell List Skill Bonus</t>
  </si>
  <si>
    <t>Level of Defender</t>
  </si>
  <si>
    <t>Defender Item Bonuses</t>
  </si>
  <si>
    <t>Attacker Item Bonuses</t>
  </si>
  <si>
    <t>Element Type Attack Bonus</t>
  </si>
  <si>
    <t>Spell Attack Roll Outcome</t>
  </si>
  <si>
    <t>Ice</t>
  </si>
  <si>
    <t>+6, +1/round</t>
  </si>
  <si>
    <t>+7, +1/round</t>
  </si>
  <si>
    <t>+8,+2/round</t>
  </si>
  <si>
    <t>+10</t>
  </si>
  <si>
    <t>Maneuver Skill</t>
  </si>
  <si>
    <t>Item Bonus</t>
  </si>
  <si>
    <t>Spell Bonus</t>
  </si>
  <si>
    <t>Other Bonuses</t>
  </si>
  <si>
    <t>Stunned: 15</t>
  </si>
  <si>
    <t>Bleeding Per Round</t>
  </si>
  <si>
    <t>Apprenticeships</t>
  </si>
  <si>
    <t>Squire</t>
  </si>
  <si>
    <t>Mixed</t>
  </si>
  <si>
    <t>Alchemy</t>
  </si>
  <si>
    <t>Wrestling</t>
  </si>
  <si>
    <t>Fencing</t>
  </si>
  <si>
    <t>Tracker</t>
  </si>
  <si>
    <t>Pick Pocket</t>
  </si>
  <si>
    <t>Necromancy</t>
  </si>
  <si>
    <t>Illusions</t>
  </si>
  <si>
    <t>Priesthood</t>
  </si>
  <si>
    <t>Undead Hunter</t>
  </si>
  <si>
    <t>Lycanthropy</t>
  </si>
  <si>
    <t>Summoning</t>
  </si>
  <si>
    <t>Politician</t>
  </si>
  <si>
    <t>Soldier</t>
  </si>
  <si>
    <t>Actor</t>
  </si>
  <si>
    <t>Monk</t>
  </si>
  <si>
    <t>Skill</t>
  </si>
  <si>
    <t>Available To</t>
  </si>
  <si>
    <t>Statistic</t>
  </si>
  <si>
    <t>Primary Stat</t>
  </si>
  <si>
    <t>Class</t>
  </si>
  <si>
    <t>Affliction</t>
  </si>
  <si>
    <t>5 per 5 Levels</t>
  </si>
  <si>
    <t>1 (Natural)</t>
  </si>
  <si>
    <t>100 (Natural)</t>
  </si>
  <si>
    <t>Calculation</t>
  </si>
  <si>
    <t>Partial Failure</t>
  </si>
  <si>
    <t>Astounding Success</t>
  </si>
  <si>
    <t>Fumble</t>
  </si>
  <si>
    <t>Failure</t>
  </si>
  <si>
    <t>Partial Success</t>
  </si>
  <si>
    <t>Success</t>
  </si>
  <si>
    <t>Trip</t>
  </si>
  <si>
    <t>Fall</t>
  </si>
  <si>
    <t>GM Discretion</t>
  </si>
  <si>
    <t>Stumble</t>
  </si>
  <si>
    <t>Slip 5' Down</t>
  </si>
  <si>
    <t>Jog</t>
  </si>
  <si>
    <t>Sloppy</t>
  </si>
  <si>
    <t>Run</t>
  </si>
  <si>
    <t>Swim</t>
  </si>
  <si>
    <t>Climb</t>
  </si>
  <si>
    <t>No Progress</t>
  </si>
  <si>
    <t>Pick Breaks and Lodges in Lock</t>
  </si>
  <si>
    <t>Trap Springs</t>
  </si>
  <si>
    <t>Pick Breaks</t>
  </si>
  <si>
    <t>Target is offended</t>
  </si>
  <si>
    <t>Learn Nothing</t>
  </si>
  <si>
    <t>Trap Doesn't Release</t>
  </si>
  <si>
    <t>Cannot Solve Lock</t>
  </si>
  <si>
    <t>Target is confused</t>
  </si>
  <si>
    <t>Gleans Some Info</t>
  </si>
  <si>
    <t>Trap Solved, but not disarmed</t>
  </si>
  <si>
    <t>Lock Solved, but not opened</t>
  </si>
  <si>
    <t>Determine Materials</t>
  </si>
  <si>
    <t>Trap disarmed</t>
  </si>
  <si>
    <t>Lock Opened</t>
  </si>
  <si>
    <t>Target persuaded</t>
  </si>
  <si>
    <t>Item Identified</t>
  </si>
  <si>
    <t>Item Origin Determined</t>
  </si>
  <si>
    <t>Target got away</t>
  </si>
  <si>
    <t>Item not stolen</t>
  </si>
  <si>
    <t>Item still in reach</t>
  </si>
  <si>
    <t>Item stolen</t>
  </si>
  <si>
    <t>Contaminated Tracks</t>
  </si>
  <si>
    <t>Lost track temporarily</t>
  </si>
  <si>
    <t>Lost Track Permanently</t>
  </si>
  <si>
    <t>Briefly lost track</t>
  </si>
  <si>
    <t>Found Track</t>
  </si>
  <si>
    <t>Sneeze and are singled out where you are.</t>
  </si>
  <si>
    <t>Seen</t>
  </si>
  <si>
    <t>Noticed</t>
  </si>
  <si>
    <t>Motion Detected</t>
  </si>
  <si>
    <t>Hidden</t>
  </si>
  <si>
    <t>Fall and break limb</t>
  </si>
  <si>
    <t>Hang on for dear life</t>
  </si>
  <si>
    <t>Balance</t>
  </si>
  <si>
    <t xml:space="preserve">Run across </t>
  </si>
  <si>
    <t>Fall + 5 hits</t>
  </si>
  <si>
    <t>Trap Springs and Pieces Lodge in Eye  -15 Hits</t>
  </si>
  <si>
    <t>Trip and Break Limb  -15 hits</t>
  </si>
  <si>
    <t>Unconsious -3 Hits/round</t>
  </si>
  <si>
    <t>Sink -1 Hits/round</t>
  </si>
  <si>
    <t>Water in Nose -5 Hits</t>
  </si>
  <si>
    <t>Fall and Break Limb -15 hits</t>
  </si>
  <si>
    <t>dssf</t>
  </si>
  <si>
    <t>Caught Red Handed - Incarcerated</t>
  </si>
  <si>
    <t>Got away Scott Free +15 next action</t>
  </si>
  <si>
    <t>Sneak up on Target +20 ambusing this Target</t>
  </si>
  <si>
    <t>Target is so offended that they punch you in nose -5 Hits</t>
  </si>
  <si>
    <t>Target understands concept</t>
  </si>
  <si>
    <t>Target inspired to do extra +5 next action</t>
  </si>
  <si>
    <t>Identify as Wrong Item - May not try again for 1 day</t>
  </si>
  <si>
    <t>Sprint Endurance as if Running</t>
  </si>
  <si>
    <t>Sprint Endurance as if Swimming</t>
  </si>
  <si>
    <t>Double Climb Rate Endurance as if Climbing</t>
  </si>
  <si>
    <t>All Traps of this Type automatically disarmed for 1 day</t>
  </si>
  <si>
    <t>All Locks of this Type automatically Opened for 1 day</t>
  </si>
  <si>
    <t>Skill Points</t>
  </si>
  <si>
    <t>50 to 75</t>
  </si>
  <si>
    <t>95 to 98</t>
  </si>
  <si>
    <t>Character Name</t>
  </si>
  <si>
    <t>Player Name</t>
  </si>
  <si>
    <t>Race</t>
  </si>
  <si>
    <t>Profession</t>
  </si>
  <si>
    <t>Character Stats</t>
  </si>
  <si>
    <t>Stat</t>
  </si>
  <si>
    <t>Base Bonus</t>
  </si>
  <si>
    <t>Race Bonus</t>
  </si>
  <si>
    <t>Stat Bonus</t>
  </si>
  <si>
    <t>Fist</t>
  </si>
  <si>
    <t>Brain</t>
  </si>
  <si>
    <t>Skills</t>
  </si>
  <si>
    <t>Skill Level</t>
  </si>
  <si>
    <t>Other</t>
  </si>
  <si>
    <t>Skill Bonus</t>
  </si>
  <si>
    <t>Sprint</t>
  </si>
  <si>
    <t>76 to 89</t>
  </si>
  <si>
    <t>90 to 94</t>
  </si>
  <si>
    <t>StatBonus</t>
  </si>
  <si>
    <t>SkillPoints</t>
  </si>
  <si>
    <t>Weapons</t>
  </si>
  <si>
    <t>None or Light Clothing</t>
  </si>
  <si>
    <t>Primary Melee</t>
  </si>
  <si>
    <t>Primary Missile</t>
  </si>
  <si>
    <t>Secondary Melee</t>
  </si>
  <si>
    <t>Secondary Missile</t>
  </si>
  <si>
    <t>Tertiary Melee</t>
  </si>
  <si>
    <t>Tertiary Missile</t>
  </si>
  <si>
    <t>Spell Lists</t>
  </si>
  <si>
    <t>Enchantment</t>
  </si>
  <si>
    <t>Height</t>
  </si>
  <si>
    <t>Weight</t>
  </si>
  <si>
    <t>Eye Color</t>
  </si>
  <si>
    <t>Hair Color</t>
  </si>
  <si>
    <t>Skin Tone</t>
  </si>
  <si>
    <t>Alignment</t>
  </si>
  <si>
    <t>Stat Point Pool</t>
  </si>
  <si>
    <t>Total</t>
  </si>
  <si>
    <t>Available</t>
  </si>
  <si>
    <t>Rolled</t>
  </si>
  <si>
    <t>Str</t>
  </si>
  <si>
    <t>Con</t>
  </si>
  <si>
    <t>Int</t>
  </si>
  <si>
    <t>Pre</t>
  </si>
  <si>
    <t>Pty</t>
  </si>
  <si>
    <t>Apprenticeship</t>
  </si>
  <si>
    <t>Earned</t>
  </si>
  <si>
    <t>Used</t>
  </si>
  <si>
    <t>Special</t>
  </si>
  <si>
    <t>Persuation</t>
  </si>
  <si>
    <t>This Level</t>
  </si>
  <si>
    <t>PrimaryMelee</t>
  </si>
  <si>
    <t>PrimaryMissile</t>
  </si>
  <si>
    <t>SecondaryMelee</t>
  </si>
  <si>
    <t>SecondaryMissle</t>
  </si>
  <si>
    <t>Fighter</t>
  </si>
  <si>
    <t>Burglar</t>
  </si>
  <si>
    <t>Animist</t>
  </si>
  <si>
    <t>TertiaryMelee</t>
  </si>
  <si>
    <t>TertiaryMissile</t>
  </si>
  <si>
    <t>ItemLore</t>
  </si>
  <si>
    <t>Knight</t>
  </si>
  <si>
    <t>Scholarship</t>
  </si>
  <si>
    <t>Base Line</t>
  </si>
  <si>
    <t>Body General</t>
  </si>
  <si>
    <t>Brain General</t>
  </si>
  <si>
    <t>Mixed General</t>
  </si>
  <si>
    <t>Next Cost</t>
  </si>
  <si>
    <t>-</t>
  </si>
  <si>
    <t>Spending</t>
  </si>
  <si>
    <t>3/7</t>
  </si>
  <si>
    <t>2/5</t>
  </si>
  <si>
    <t>1/3</t>
  </si>
  <si>
    <t>1/3/5</t>
  </si>
  <si>
    <t>5/10</t>
  </si>
  <si>
    <t>2/6</t>
  </si>
  <si>
    <t>Old Level</t>
  </si>
  <si>
    <t>Stats</t>
  </si>
  <si>
    <t>Orc</t>
  </si>
  <si>
    <t>Berserker</t>
  </si>
  <si>
    <t>Requirements</t>
  </si>
  <si>
    <t>Restrictions</t>
  </si>
  <si>
    <t>Staff</t>
  </si>
  <si>
    <t>Totem</t>
  </si>
  <si>
    <t>Sigil</t>
  </si>
  <si>
    <t>Instrument</t>
  </si>
  <si>
    <t>While Playing Inst.</t>
  </si>
  <si>
    <t>Reptilian</t>
  </si>
  <si>
    <t>Baseline Level 5 NPCs</t>
  </si>
  <si>
    <t>Source: Racial Bonuses valid race/profession matrix in BodyAndBrain.xlsm. Assumptions: level 5 adult, level significance score 0, adult age modifier 0. Stat cells show score (bonus). Signature skills use baseline 5.</t>
  </si>
  <si>
    <t>Array</t>
  </si>
  <si>
    <t>Signature</t>
  </si>
  <si>
    <t>Leader</t>
  </si>
  <si>
    <t>62 (+1)</t>
  </si>
  <si>
    <t>66 (+1)</t>
  </si>
  <si>
    <t>61 (+1)</t>
  </si>
  <si>
    <t>70 (+1)</t>
  </si>
  <si>
    <t>95 (+4)</t>
  </si>
  <si>
    <t>50 (+1)</t>
  </si>
  <si>
    <t>Songs or Persuasion 5</t>
  </si>
  <si>
    <t>Physical</t>
  </si>
  <si>
    <t>92 (+3)</t>
  </si>
  <si>
    <t>76 (+2)</t>
  </si>
  <si>
    <t>81 (+2)</t>
  </si>
  <si>
    <t>55 (+1)</t>
  </si>
  <si>
    <t>45 (+0)</t>
  </si>
  <si>
    <t>Primary Melee 5</t>
  </si>
  <si>
    <t>Devout</t>
  </si>
  <si>
    <t>56 (+1)</t>
  </si>
  <si>
    <t>71 (+1)</t>
  </si>
  <si>
    <t>65 (+1)</t>
  </si>
  <si>
    <t>Prayer 5</t>
  </si>
  <si>
    <t>Scholar</t>
  </si>
  <si>
    <t>47 (+0)</t>
  </si>
  <si>
    <t>75 (+1)</t>
  </si>
  <si>
    <t>Conjuring 5</t>
  </si>
  <si>
    <t>Prayer or Leadership 5</t>
  </si>
  <si>
    <t>Skirmisher</t>
  </si>
  <si>
    <t>96 (+4)</t>
  </si>
  <si>
    <t>60 (+1)</t>
  </si>
  <si>
    <t>Tracking or Primary Missile 5</t>
  </si>
  <si>
    <t>Stealing or Hiding 5</t>
  </si>
  <si>
    <t>Wizardry 5</t>
  </si>
  <si>
    <t>67 (+1)</t>
  </si>
  <si>
    <t>48 (+0)</t>
  </si>
  <si>
    <t>46 (+0)</t>
  </si>
  <si>
    <t>68 (+1)</t>
  </si>
  <si>
    <t>91 (+3)</t>
  </si>
  <si>
    <t>77 (+2)</t>
  </si>
  <si>
    <t>43 (+0)</t>
  </si>
  <si>
    <t>97 (+4)</t>
  </si>
  <si>
    <t>72 (+1)</t>
  </si>
  <si>
    <t>63 (+1)</t>
  </si>
  <si>
    <t>98 (+4)</t>
  </si>
  <si>
    <t>42 (+0)</t>
  </si>
  <si>
    <t>74 (+1)</t>
  </si>
  <si>
    <t>82 (+2)</t>
  </si>
  <si>
    <t>54 (+1)</t>
  </si>
  <si>
    <t>59 (+1)</t>
  </si>
  <si>
    <t>57 (+1)</t>
  </si>
  <si>
    <t>44 (+0)</t>
  </si>
  <si>
    <t>93 (+3)</t>
  </si>
  <si>
    <t>52 (+1)</t>
  </si>
  <si>
    <t>49 (+0)</t>
  </si>
  <si>
    <t>78 (+2)</t>
  </si>
  <si>
    <t>69 (+1)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</si>
</sst>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55" x14ac:knownFonts="1">
    <font>
      <sz val="11"/>
      <name val="Bembo"/>
      <family val="2"/>
      <scheme val="minor"/>
    </font>
    <font>
      <sz val="11"/>
      <color theme="1"/>
      <name val="Bembo"/>
      <family val="2"/>
      <scheme val="minor"/>
    </font>
    <font>
      <sz val="11"/>
      <color theme="1"/>
      <name val="Bembo"/>
      <family val="2"/>
      <scheme val="minor"/>
    </font>
    <font>
      <sz val="11"/>
      <color theme="1"/>
      <name val="Bembo"/>
      <family val="2"/>
      <scheme val="minor"/>
    </font>
    <font>
      <sz val="11"/>
      <color theme="1"/>
      <name val="Bembo"/>
      <family val="2"/>
      <scheme val="minor"/>
    </font>
    <font>
      <sz val="11"/>
      <color theme="1"/>
      <name val="Bembo"/>
      <family val="2"/>
      <scheme val="minor"/>
    </font>
    <font>
      <sz val="11"/>
      <color theme="1"/>
      <name val="Bembo"/>
      <family val="2"/>
      <scheme val="minor"/>
    </font>
    <font>
      <b/>
      <sz val="11"/>
      <color theme="0"/>
      <name val="Bembo"/>
      <family val="2"/>
      <scheme val="minor"/>
    </font>
    <font>
      <i/>
      <sz val="11"/>
      <color rgb="FF7F7F7F"/>
      <name val="Bembo"/>
      <family val="2"/>
      <scheme val="minor"/>
    </font>
    <font>
      <b/>
      <sz val="11"/>
      <color theme="1"/>
      <name val="Bembo"/>
      <family val="2"/>
      <scheme val="minor"/>
    </font>
    <font>
      <sz val="11"/>
      <color theme="0"/>
      <name val="Bembo"/>
      <family val="2"/>
      <scheme val="minor"/>
    </font>
    <font>
      <i/>
      <sz val="9"/>
      <color theme="1"/>
      <name val="Bembo"/>
      <family val="2"/>
      <scheme val="minor"/>
    </font>
    <font>
      <b/>
      <i/>
      <sz val="11"/>
      <color theme="1"/>
      <name val="Bembo"/>
      <family val="2"/>
      <scheme val="minor"/>
    </font>
    <font>
      <b/>
      <sz val="10"/>
      <color theme="1"/>
      <name val="Bembo"/>
      <family val="2"/>
      <scheme val="minor"/>
    </font>
    <font>
      <sz val="8"/>
      <color theme="1"/>
      <name val="Bembo"/>
      <family val="2"/>
      <scheme val="minor"/>
    </font>
    <font>
      <b/>
      <sz val="8"/>
      <color theme="1"/>
      <name val="Bembo"/>
      <family val="2"/>
      <scheme val="minor"/>
    </font>
    <font>
      <b/>
      <sz val="11"/>
      <color theme="7"/>
      <name val="Bembo"/>
      <family val="2"/>
      <scheme val="minor"/>
    </font>
    <font>
      <i/>
      <sz val="11"/>
      <color theme="0"/>
      <name val="Bembo"/>
      <family val="2"/>
      <scheme val="minor"/>
    </font>
    <font>
      <b/>
      <sz val="11"/>
      <color theme="3"/>
      <name val="Bembo"/>
      <family val="2"/>
      <scheme val="minor"/>
    </font>
    <font>
      <sz val="12"/>
      <color theme="1"/>
      <name val="Bembo"/>
      <family val="2"/>
      <scheme val="minor"/>
    </font>
    <font>
      <i/>
      <sz val="8"/>
      <color theme="1"/>
      <name val="Bembo"/>
      <family val="1"/>
      <scheme val="minor"/>
    </font>
    <font>
      <b/>
      <sz val="13"/>
      <color theme="3"/>
      <name val="Bembo"/>
      <family val="2"/>
      <scheme val="minor"/>
    </font>
    <font>
      <b/>
      <sz val="11"/>
      <color theme="1"/>
      <name val="Bembo"/>
      <family val="1"/>
      <scheme val="minor"/>
    </font>
    <font>
      <b/>
      <i/>
      <sz val="11"/>
      <color theme="1"/>
      <name val="Bembo"/>
      <family val="1"/>
      <scheme val="minor"/>
    </font>
    <font>
      <b/>
      <sz val="12"/>
      <color theme="1"/>
      <name val="Bembo"/>
      <family val="2"/>
      <scheme val="minor"/>
    </font>
    <font>
      <b/>
      <sz val="11"/>
      <name val="Bembo"/>
      <family val="1"/>
      <scheme val="minor"/>
    </font>
    <font>
      <b/>
      <sz val="11"/>
      <color indexed="60"/>
      <name val="Bembo"/>
      <family val="1"/>
      <scheme val="minor"/>
    </font>
    <font>
      <b/>
      <sz val="11"/>
      <color indexed="17"/>
      <name val="Bembo"/>
      <family val="1"/>
      <scheme val="minor"/>
    </font>
    <font>
      <i/>
      <sz val="8"/>
      <name val="Bembo"/>
      <family val="1"/>
      <scheme val="minor"/>
    </font>
    <font>
      <sz val="11"/>
      <name val="Bembo"/>
      <family val="1"/>
      <scheme val="minor"/>
    </font>
    <font>
      <sz val="12"/>
      <name val="Bembo"/>
      <family val="2"/>
      <scheme val="minor"/>
    </font>
    <font>
      <sz val="12"/>
      <name val="Bembo"/>
      <family val="1"/>
      <scheme val="minor"/>
    </font>
    <font>
      <b/>
      <sz val="11"/>
      <color theme="4" tint="-0.499984740745262"/>
      <name val="Bembo"/>
      <family val="2"/>
      <scheme val="minor"/>
    </font>
    <font>
      <sz val="11"/>
      <color theme="4" tint="-0.499984740745262"/>
      <name val="Bembo"/>
      <family val="2"/>
      <scheme val="minor"/>
    </font>
    <font>
      <sz val="11"/>
      <color rgb="FF000000"/>
      <name val="Bembo"/>
      <family val="1"/>
    </font>
    <font>
      <b/>
      <sz val="15"/>
      <color theme="3"/>
      <name val="Bembo"/>
      <family val="2"/>
      <scheme val="minor"/>
    </font>
    <font>
      <i/>
      <sz val="9"/>
      <name val="Bembo"/>
      <family val="1"/>
      <scheme val="minor"/>
    </font>
    <font>
      <b/>
      <i/>
      <sz val="11"/>
      <name val="Bembo"/>
      <family val="1"/>
      <scheme val="minor"/>
    </font>
    <font>
      <i/>
      <sz val="9"/>
      <color theme="5" tint="-0.249977111117893"/>
      <name val="Bembo"/>
      <family val="1"/>
      <scheme val="minor"/>
    </font>
    <font>
      <sz val="8"/>
      <color rgb="FF000000"/>
      <name val="Bembo"/>
      <family val="1"/>
    </font>
    <font>
      <b/>
      <sz val="9"/>
      <color rgb="FF000000"/>
      <name val="Bembo"/>
      <family val="1"/>
    </font>
    <font>
      <b/>
      <sz val="9"/>
      <color rgb="FF008000"/>
      <name val="Bembo"/>
      <family val="1"/>
    </font>
    <font>
      <b/>
      <sz val="8"/>
      <color rgb="FFFF0000"/>
      <name val="Bembo"/>
      <family val="1"/>
    </font>
    <font>
      <b/>
      <sz val="8"/>
      <color rgb="FF808000"/>
      <name val="Bembo"/>
      <family val="1"/>
    </font>
    <font>
      <b/>
      <u/>
      <sz val="8"/>
      <color rgb="FFFF0000"/>
      <name val="Bembo"/>
      <family val="1"/>
    </font>
    <font>
      <b/>
      <i/>
      <sz val="12"/>
      <color theme="0"/>
      <name val="Bembo"/>
      <family val="1"/>
      <scheme val="minor"/>
    </font>
    <font>
      <b/>
      <sz val="11"/>
      <color theme="9" tint="-0.499984740745262"/>
      <name val="Bembo"/>
      <family val="2"/>
      <scheme val="minor"/>
    </font>
    <font>
      <b/>
      <i/>
      <sz val="11"/>
      <color theme="9" tint="0.59999389629810485"/>
      <name val="Bembo"/>
      <family val="1"/>
      <scheme val="minor"/>
    </font>
    <font>
      <b/>
      <i/>
      <sz val="11"/>
      <color theme="2" tint="-0.249977111117893"/>
      <name val="Bembo"/>
      <family val="1"/>
      <scheme val="minor"/>
    </font>
    <font>
      <b/>
      <i/>
      <sz val="11"/>
      <color theme="4" tint="0.59999389629810485"/>
      <name val="Bembo"/>
      <family val="1"/>
      <scheme val="minor"/>
    </font>
    <font>
      <b/>
      <sz val="11"/>
      <color theme="4" tint="0.79998168889431442"/>
      <name val="Bembo"/>
      <family val="2"/>
      <scheme val="minor"/>
    </font>
    <font>
      <sz val="11"/>
      <color theme="4" tint="0.79998168889431442"/>
      <name val="Bembo"/>
      <family val="2"/>
      <scheme val="minor"/>
    </font>
    <font>
      <sz val="11"/>
      <color theme="1"/>
      <name val="Bembo"/>
      <family val="1"/>
      <scheme val="minor"/>
    </font>
    <font>
      <b/>
      <sz val="16"/>
      <name val="Bembo"/>
      <family val="1"/>
      <scheme val="minor"/>
    </font>
    <font>
      <i/>
      <sz val="11"/>
      <name val="Bembo"/>
      <family val="1"/>
      <scheme val="minor"/>
    </font>
  </fonts>
  <fills count="6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7"/>
        <bgColor theme="7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theme="7"/>
      </patternFill>
    </fill>
    <fill>
      <patternFill patternType="solid">
        <fgColor theme="4" tint="0.79998168889431442"/>
        <bgColor theme="0" tint="-0.14999847407452621"/>
      </patternFill>
    </fill>
    <fill>
      <patternFill patternType="solid">
        <fgColor theme="0"/>
        <bgColor theme="5" tint="0.79998168889431442"/>
      </patternFill>
    </fill>
    <fill>
      <patternFill patternType="solid">
        <fgColor theme="5" tint="-0.499984740745262"/>
        <bgColor theme="5" tint="0.59999389629810485"/>
      </patternFill>
    </fill>
    <fill>
      <patternFill patternType="solid">
        <fgColor theme="5" tint="-0.499984740745262"/>
        <bgColor theme="5" tint="0.79998168889431442"/>
      </patternFill>
    </fill>
    <fill>
      <patternFill patternType="solid">
        <fgColor theme="6" tint="0.59999389629810485"/>
        <bgColor theme="6" tint="0.79998168889431442"/>
      </patternFill>
    </fill>
    <fill>
      <patternFill patternType="solid">
        <fgColor theme="6" tint="0.79998168889431442"/>
        <bgColor theme="6" tint="0.5999938962981048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90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 style="medium">
        <color theme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medium">
        <color theme="3" tint="0.39997558519241921"/>
      </top>
      <bottom/>
      <diagonal/>
    </border>
    <border>
      <left/>
      <right/>
      <top/>
      <bottom style="medium">
        <color theme="3" tint="0.39997558519241921"/>
      </bottom>
      <diagonal/>
    </border>
    <border>
      <left/>
      <right/>
      <top style="medium">
        <color theme="3" tint="0.39997558519241921"/>
      </top>
      <bottom style="medium">
        <color theme="3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6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/>
      <top/>
      <bottom style="medium">
        <color theme="3" tint="0.59999389629810485"/>
      </bottom>
      <diagonal/>
    </border>
    <border>
      <left/>
      <right/>
      <top style="medium">
        <color theme="3" tint="0.59999389629810485"/>
      </top>
      <bottom/>
      <diagonal/>
    </border>
    <border>
      <left/>
      <right/>
      <top style="medium">
        <color theme="3" tint="0.59999389629810485"/>
      </top>
      <bottom style="medium">
        <color theme="3" tint="0.59999389629810485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theme="7"/>
      </bottom>
      <diagonal/>
    </border>
    <border>
      <left style="medium">
        <color theme="3" tint="0.59999389629810485"/>
      </left>
      <right/>
      <top/>
      <bottom/>
      <diagonal/>
    </border>
    <border>
      <left/>
      <right style="medium">
        <color theme="3" tint="0.59999389629810485"/>
      </right>
      <top/>
      <bottom/>
      <diagonal/>
    </border>
    <border>
      <left style="medium">
        <color theme="3" tint="0.59999389629810485"/>
      </left>
      <right/>
      <top/>
      <bottom style="medium">
        <color theme="3" tint="0.59999389629810485"/>
      </bottom>
      <diagonal/>
    </border>
    <border>
      <left/>
      <right style="medium">
        <color theme="3" tint="0.59999389629810485"/>
      </right>
      <top/>
      <bottom style="medium">
        <color theme="3" tint="0.59999389629810485"/>
      </bottom>
      <diagonal/>
    </border>
    <border>
      <left/>
      <right style="medium">
        <color theme="3" tint="0.59999389629810485"/>
      </right>
      <top style="medium">
        <color theme="3" tint="0.59999389629810485"/>
      </top>
      <bottom/>
      <diagonal/>
    </border>
    <border>
      <left/>
      <right/>
      <top/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6" tint="0.39997558519241921"/>
      </top>
      <bottom style="thin">
        <color theme="4" tint="0.39997558519241921"/>
      </bottom>
      <diagonal/>
    </border>
    <border>
      <left/>
      <right/>
      <top style="medium">
        <color theme="4" tint="-0.249977111117893"/>
      </top>
      <bottom/>
      <diagonal/>
    </border>
    <border>
      <left/>
      <right/>
      <top style="medium">
        <color theme="4" tint="0.39997558519241921"/>
      </top>
      <bottom style="medium">
        <color theme="4" tint="-0.249977111117893"/>
      </bottom>
      <diagonal/>
    </border>
    <border>
      <left/>
      <right/>
      <top style="medium">
        <color theme="4" tint="-0.249977111117893"/>
      </top>
      <bottom style="medium">
        <color theme="4" tint="-0.249977111117893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4" tint="0.39997558519241921"/>
      </bottom>
      <diagonal/>
    </border>
    <border>
      <left style="thin">
        <color theme="0"/>
      </left>
      <right/>
      <top style="thick">
        <color theme="0"/>
      </top>
      <bottom style="thin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 style="thin">
        <color theme="0"/>
      </left>
      <right/>
      <top style="thin">
        <color theme="4" tint="0.39997558519241921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ck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ck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/>
      <top style="medium">
        <color theme="1"/>
      </top>
      <bottom/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theme="1" tint="0.34998626667073579"/>
      </left>
      <right style="thin">
        <color theme="9" tint="0.39994506668294322"/>
      </right>
      <top style="thin">
        <color theme="1" tint="0.34998626667073579"/>
      </top>
      <bottom/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1" tint="0.34998626667073579"/>
      </top>
      <bottom/>
      <diagonal/>
    </border>
    <border>
      <left style="thin">
        <color theme="9" tint="0.39994506668294322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9" tint="0.39994506668294322"/>
      </right>
      <top/>
      <bottom/>
      <diagonal/>
    </border>
    <border>
      <left style="thin">
        <color theme="9" tint="0.39994506668294322"/>
      </left>
      <right style="thin">
        <color theme="9" tint="0.39994506668294322"/>
      </right>
      <top/>
      <bottom/>
      <diagonal/>
    </border>
    <border>
      <left style="thin">
        <color theme="9" tint="0.39994506668294322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9" tint="0.39994506668294322"/>
      </right>
      <top/>
      <bottom style="thin">
        <color theme="1" tint="0.34998626667073579"/>
      </bottom>
      <diagonal/>
    </border>
    <border>
      <left style="thin">
        <color theme="9" tint="0.39994506668294322"/>
      </left>
      <right style="thin">
        <color theme="9" tint="0.39994506668294322"/>
      </right>
      <top/>
      <bottom style="thin">
        <color theme="1" tint="0.34998626667073579"/>
      </bottom>
      <diagonal/>
    </border>
    <border>
      <left style="thin">
        <color theme="9" tint="0.39994506668294322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9" tint="0.39994506668294322"/>
      </left>
      <right/>
      <top style="thin">
        <color theme="1" tint="0.34998626667073579"/>
      </top>
      <bottom/>
      <diagonal/>
    </border>
    <border>
      <left style="thin">
        <color theme="9" tint="0.39994506668294322"/>
      </left>
      <right/>
      <top/>
      <bottom/>
      <diagonal/>
    </border>
    <border>
      <left style="thin">
        <color theme="9" tint="0.39994506668294322"/>
      </left>
      <right/>
      <top/>
      <bottom style="thin">
        <color theme="1" tint="0.34998626667073579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22">
    <xf numFmtId="0" fontId="0" fillId="0" borderId="0"/>
    <xf numFmtId="0" fontId="8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6" fillId="3" borderId="0" applyNumberFormat="0" applyBorder="0" applyAlignment="0" applyProtection="0"/>
    <xf numFmtId="0" fontId="10" fillId="4" borderId="0" applyNumberFormat="0" applyBorder="0" applyAlignment="0" applyProtection="0"/>
    <xf numFmtId="0" fontId="6" fillId="5" borderId="0" applyNumberFormat="0" applyBorder="0" applyAlignment="0" applyProtection="0"/>
    <xf numFmtId="0" fontId="10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10" fillId="14" borderId="0" applyNumberFormat="0" applyBorder="0" applyAlignment="0" applyProtection="0"/>
    <xf numFmtId="0" fontId="6" fillId="15" borderId="0" applyNumberFormat="0" applyBorder="0" applyAlignment="0" applyProtection="0"/>
    <xf numFmtId="0" fontId="18" fillId="0" borderId="7" applyNumberFormat="0" applyFill="0" applyAlignment="0" applyProtection="0"/>
    <xf numFmtId="43" fontId="6" fillId="0" borderId="0" applyFont="0" applyFill="0" applyBorder="0" applyAlignment="0" applyProtection="0"/>
    <xf numFmtId="0" fontId="21" fillId="0" borderId="36" applyNumberFormat="0" applyFill="0" applyAlignment="0" applyProtection="0"/>
    <xf numFmtId="1" fontId="24" fillId="0" borderId="37" applyFill="0">
      <alignment horizontal="right"/>
    </xf>
    <xf numFmtId="1" fontId="24" fillId="0" borderId="38" applyFill="0">
      <alignment horizontal="right"/>
    </xf>
    <xf numFmtId="0" fontId="35" fillId="0" borderId="47" applyNumberFormat="0" applyFill="0" applyAlignment="0" applyProtection="0"/>
  </cellStyleXfs>
  <cellXfs count="381">
    <xf numFmtId="0" fontId="0" fillId="0" borderId="0" xfId="0"/>
    <xf numFmtId="0" fontId="0" fillId="0" borderId="0" xfId="0" applyAlignment="1">
      <alignment horizontal="right"/>
    </xf>
    <xf numFmtId="14" fontId="0" fillId="0" borderId="0" xfId="0" quotePrefix="1" applyNumberFormat="1" applyAlignment="1">
      <alignment horizontal="right"/>
    </xf>
    <xf numFmtId="0" fontId="0" fillId="0" borderId="0" xfId="0" quotePrefix="1"/>
    <xf numFmtId="0" fontId="0" fillId="0" borderId="0" xfId="0" quotePrefix="1" applyAlignment="1">
      <alignment horizontal="right"/>
    </xf>
    <xf numFmtId="0" fontId="9" fillId="0" borderId="0" xfId="0" applyFont="1"/>
    <xf numFmtId="0" fontId="6" fillId="7" borderId="0" xfId="7"/>
    <xf numFmtId="0" fontId="6" fillId="8" borderId="0" xfId="8"/>
    <xf numFmtId="0" fontId="6" fillId="9" borderId="0" xfId="9"/>
    <xf numFmtId="0" fontId="11" fillId="3" borderId="0" xfId="3" applyFont="1"/>
    <xf numFmtId="0" fontId="12" fillId="3" borderId="0" xfId="3" applyFont="1"/>
    <xf numFmtId="0" fontId="9" fillId="3" borderId="0" xfId="3" applyFont="1"/>
    <xf numFmtId="0" fontId="13" fillId="3" borderId="0" xfId="3" applyFont="1"/>
    <xf numFmtId="0" fontId="14" fillId="0" borderId="0" xfId="0" applyFont="1"/>
    <xf numFmtId="0" fontId="0" fillId="0" borderId="0" xfId="0" applyAlignment="1">
      <alignment wrapText="1"/>
    </xf>
    <xf numFmtId="0" fontId="15" fillId="0" borderId="0" xfId="0" applyFont="1"/>
    <xf numFmtId="0" fontId="0" fillId="0" borderId="0" xfId="0" applyAlignment="1">
      <alignment horizontal="left"/>
    </xf>
    <xf numFmtId="0" fontId="0" fillId="17" borderId="1" xfId="0" applyFill="1" applyBorder="1" applyAlignment="1">
      <alignment horizontal="right"/>
    </xf>
    <xf numFmtId="0" fontId="9" fillId="0" borderId="0" xfId="0" applyFont="1" applyAlignment="1">
      <alignment horizontal="left"/>
    </xf>
    <xf numFmtId="0" fontId="0" fillId="19" borderId="4" xfId="0" applyFill="1" applyBorder="1" applyAlignment="1">
      <alignment horizontal="right"/>
    </xf>
    <xf numFmtId="0" fontId="0" fillId="19" borderId="1" xfId="0" applyFill="1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14" fillId="24" borderId="1" xfId="0" applyFont="1" applyFill="1" applyBorder="1"/>
    <xf numFmtId="0" fontId="14" fillId="27" borderId="1" xfId="0" applyFont="1" applyFill="1" applyBorder="1" applyAlignment="1">
      <alignment wrapText="1"/>
    </xf>
    <xf numFmtId="0" fontId="14" fillId="29" borderId="1" xfId="0" applyFont="1" applyFill="1" applyBorder="1" applyAlignment="1">
      <alignment wrapText="1"/>
    </xf>
    <xf numFmtId="0" fontId="18" fillId="0" borderId="7" xfId="16"/>
    <xf numFmtId="0" fontId="7" fillId="2" borderId="13" xfId="2" applyFont="1" applyBorder="1"/>
    <xf numFmtId="0" fontId="7" fillId="2" borderId="14" xfId="2" applyFont="1" applyBorder="1"/>
    <xf numFmtId="0" fontId="0" fillId="0" borderId="14" xfId="0" applyBorder="1"/>
    <xf numFmtId="0" fontId="0" fillId="0" borderId="15" xfId="0" applyBorder="1"/>
    <xf numFmtId="0" fontId="7" fillId="4" borderId="16" xfId="4" applyFont="1" applyBorder="1"/>
    <xf numFmtId="0" fontId="7" fillId="4" borderId="17" xfId="4" applyFont="1" applyBorder="1"/>
    <xf numFmtId="0" fontId="7" fillId="14" borderId="18" xfId="14" applyFont="1" applyBorder="1"/>
    <xf numFmtId="0" fontId="7" fillId="14" borderId="19" xfId="14" applyFont="1" applyBorder="1"/>
    <xf numFmtId="0" fontId="0" fillId="24" borderId="19" xfId="0" applyFill="1" applyBorder="1"/>
    <xf numFmtId="0" fontId="0" fillId="24" borderId="20" xfId="0" applyFill="1" applyBorder="1"/>
    <xf numFmtId="0" fontId="7" fillId="21" borderId="21" xfId="0" applyFont="1" applyFill="1" applyBorder="1"/>
    <xf numFmtId="0" fontId="7" fillId="21" borderId="22" xfId="0" applyFont="1" applyFill="1" applyBorder="1"/>
    <xf numFmtId="0" fontId="7" fillId="21" borderId="22" xfId="0" applyFont="1" applyFill="1" applyBorder="1" applyAlignment="1">
      <alignment horizontal="center"/>
    </xf>
    <xf numFmtId="0" fontId="7" fillId="21" borderId="23" xfId="0" applyFont="1" applyFill="1" applyBorder="1" applyAlignment="1">
      <alignment horizontal="center"/>
    </xf>
    <xf numFmtId="0" fontId="16" fillId="20" borderId="21" xfId="1" applyFont="1" applyFill="1" applyBorder="1"/>
    <xf numFmtId="0" fontId="7" fillId="20" borderId="22" xfId="1" applyFont="1" applyFill="1" applyBorder="1"/>
    <xf numFmtId="0" fontId="7" fillId="20" borderId="21" xfId="1" applyFont="1" applyFill="1" applyBorder="1"/>
    <xf numFmtId="0" fontId="10" fillId="20" borderId="21" xfId="0" applyFont="1" applyFill="1" applyBorder="1"/>
    <xf numFmtId="0" fontId="10" fillId="20" borderId="22" xfId="0" applyFont="1" applyFill="1" applyBorder="1"/>
    <xf numFmtId="0" fontId="16" fillId="20" borderId="21" xfId="0" applyFont="1" applyFill="1" applyBorder="1"/>
    <xf numFmtId="0" fontId="7" fillId="20" borderId="22" xfId="0" applyFont="1" applyFill="1" applyBorder="1"/>
    <xf numFmtId="0" fontId="7" fillId="20" borderId="21" xfId="0" applyFont="1" applyFill="1" applyBorder="1"/>
    <xf numFmtId="0" fontId="7" fillId="6" borderId="24" xfId="6" applyFont="1" applyBorder="1"/>
    <xf numFmtId="0" fontId="7" fillId="30" borderId="25" xfId="0" applyFont="1" applyFill="1" applyBorder="1"/>
    <xf numFmtId="0" fontId="7" fillId="30" borderId="26" xfId="0" applyFont="1" applyFill="1" applyBorder="1"/>
    <xf numFmtId="0" fontId="7" fillId="30" borderId="27" xfId="0" applyFont="1" applyFill="1" applyBorder="1"/>
    <xf numFmtId="0" fontId="7" fillId="2" borderId="25" xfId="2" applyFont="1" applyBorder="1"/>
    <xf numFmtId="0" fontId="7" fillId="2" borderId="26" xfId="2" applyFont="1" applyBorder="1"/>
    <xf numFmtId="0" fontId="0" fillId="0" borderId="26" xfId="0" applyBorder="1"/>
    <xf numFmtId="0" fontId="0" fillId="0" borderId="27" xfId="0" applyBorder="1"/>
    <xf numFmtId="0" fontId="0" fillId="31" borderId="26" xfId="0" applyFill="1" applyBorder="1"/>
    <xf numFmtId="0" fontId="0" fillId="31" borderId="27" xfId="0" applyFill="1" applyBorder="1"/>
    <xf numFmtId="0" fontId="7" fillId="32" borderId="28" xfId="0" applyFont="1" applyFill="1" applyBorder="1"/>
    <xf numFmtId="0" fontId="7" fillId="32" borderId="29" xfId="0" applyFont="1" applyFill="1" applyBorder="1"/>
    <xf numFmtId="0" fontId="7" fillId="4" borderId="28" xfId="4" applyFont="1" applyBorder="1"/>
    <xf numFmtId="0" fontId="7" fillId="4" borderId="29" xfId="4" applyFont="1" applyBorder="1"/>
    <xf numFmtId="0" fontId="7" fillId="22" borderId="30" xfId="0" applyFont="1" applyFill="1" applyBorder="1"/>
    <xf numFmtId="0" fontId="7" fillId="22" borderId="31" xfId="0" applyFont="1" applyFill="1" applyBorder="1"/>
    <xf numFmtId="0" fontId="7" fillId="22" borderId="32" xfId="0" applyFont="1" applyFill="1" applyBorder="1"/>
    <xf numFmtId="0" fontId="7" fillId="14" borderId="30" xfId="14" applyFont="1" applyBorder="1"/>
    <xf numFmtId="0" fontId="7" fillId="14" borderId="31" xfId="14" applyFont="1" applyBorder="1"/>
    <xf numFmtId="0" fontId="0" fillId="24" borderId="31" xfId="0" applyFill="1" applyBorder="1"/>
    <xf numFmtId="0" fontId="0" fillId="24" borderId="32" xfId="0" applyFill="1" applyBorder="1"/>
    <xf numFmtId="0" fontId="0" fillId="0" borderId="31" xfId="0" applyBorder="1"/>
    <xf numFmtId="0" fontId="0" fillId="0" borderId="32" xfId="0" applyBorder="1"/>
    <xf numFmtId="0" fontId="7" fillId="25" borderId="0" xfId="0" applyFont="1" applyFill="1"/>
    <xf numFmtId="0" fontId="7" fillId="25" borderId="2" xfId="0" applyFont="1" applyFill="1" applyBorder="1"/>
    <xf numFmtId="0" fontId="7" fillId="25" borderId="3" xfId="0" applyFont="1" applyFill="1" applyBorder="1"/>
    <xf numFmtId="0" fontId="10" fillId="11" borderId="4" xfId="11" applyBorder="1"/>
    <xf numFmtId="0" fontId="0" fillId="26" borderId="4" xfId="0" applyFill="1" applyBorder="1"/>
    <xf numFmtId="0" fontId="0" fillId="26" borderId="4" xfId="0" applyFill="1" applyBorder="1" applyAlignment="1">
      <alignment horizontal="right"/>
    </xf>
    <xf numFmtId="0" fontId="0" fillId="26" borderId="4" xfId="0" applyFill="1" applyBorder="1" applyAlignment="1">
      <alignment horizontal="center"/>
    </xf>
    <xf numFmtId="0" fontId="7" fillId="25" borderId="5" xfId="0" applyFont="1" applyFill="1" applyBorder="1"/>
    <xf numFmtId="0" fontId="10" fillId="11" borderId="1" xfId="11" applyBorder="1"/>
    <xf numFmtId="0" fontId="0" fillId="27" borderId="1" xfId="0" applyFill="1" applyBorder="1"/>
    <xf numFmtId="0" fontId="0" fillId="26" borderId="1" xfId="0" applyFill="1" applyBorder="1" applyAlignment="1">
      <alignment horizontal="right"/>
    </xf>
    <xf numFmtId="0" fontId="0" fillId="27" borderId="1" xfId="0" applyFill="1" applyBorder="1" applyAlignment="1">
      <alignment horizontal="center"/>
    </xf>
    <xf numFmtId="0" fontId="0" fillId="26" borderId="1" xfId="0" applyFill="1" applyBorder="1" applyAlignment="1">
      <alignment horizontal="center"/>
    </xf>
    <xf numFmtId="0" fontId="0" fillId="26" borderId="1" xfId="0" applyFill="1" applyBorder="1"/>
    <xf numFmtId="0" fontId="7" fillId="12" borderId="5" xfId="12" applyFont="1" applyBorder="1"/>
    <xf numFmtId="0" fontId="17" fillId="27" borderId="1" xfId="1" applyFont="1" applyFill="1" applyBorder="1"/>
    <xf numFmtId="0" fontId="17" fillId="26" borderId="1" xfId="1" applyFont="1" applyFill="1" applyBorder="1"/>
    <xf numFmtId="0" fontId="0" fillId="12" borderId="1" xfId="12" applyFont="1" applyBorder="1"/>
    <xf numFmtId="0" fontId="0" fillId="31" borderId="1" xfId="0" applyFill="1" applyBorder="1"/>
    <xf numFmtId="0" fontId="0" fillId="29" borderId="1" xfId="0" applyFill="1" applyBorder="1"/>
    <xf numFmtId="0" fontId="0" fillId="29" borderId="1" xfId="0" applyFill="1" applyBorder="1" applyAlignment="1">
      <alignment horizontal="right"/>
    </xf>
    <xf numFmtId="0" fontId="7" fillId="30" borderId="0" xfId="0" applyFont="1" applyFill="1"/>
    <xf numFmtId="0" fontId="7" fillId="30" borderId="2" xfId="0" applyFont="1" applyFill="1" applyBorder="1"/>
    <xf numFmtId="0" fontId="7" fillId="30" borderId="3" xfId="0" applyFont="1" applyFill="1" applyBorder="1"/>
    <xf numFmtId="0" fontId="0" fillId="35" borderId="4" xfId="0" applyFill="1" applyBorder="1"/>
    <xf numFmtId="0" fontId="7" fillId="30" borderId="5" xfId="0" applyFont="1" applyFill="1" applyBorder="1"/>
    <xf numFmtId="0" fontId="0" fillId="35" borderId="1" xfId="0" applyFill="1" applyBorder="1"/>
    <xf numFmtId="0" fontId="7" fillId="18" borderId="0" xfId="0" applyFont="1" applyFill="1" applyAlignment="1">
      <alignment horizontal="right"/>
    </xf>
    <xf numFmtId="0" fontId="7" fillId="18" borderId="2" xfId="0" applyFont="1" applyFill="1" applyBorder="1" applyAlignment="1">
      <alignment horizontal="right"/>
    </xf>
    <xf numFmtId="0" fontId="0" fillId="28" borderId="3" xfId="0" applyFill="1" applyBorder="1" applyAlignment="1">
      <alignment horizontal="right"/>
    </xf>
    <xf numFmtId="0" fontId="0" fillId="28" borderId="4" xfId="0" applyFill="1" applyBorder="1" applyAlignment="1">
      <alignment horizontal="right"/>
    </xf>
    <xf numFmtId="0" fontId="0" fillId="29" borderId="5" xfId="0" applyFill="1" applyBorder="1" applyAlignment="1">
      <alignment horizontal="right"/>
    </xf>
    <xf numFmtId="0" fontId="0" fillId="28" borderId="5" xfId="0" applyFill="1" applyBorder="1" applyAlignment="1">
      <alignment horizontal="right"/>
    </xf>
    <xf numFmtId="0" fontId="0" fillId="28" borderId="1" xfId="0" applyFill="1" applyBorder="1" applyAlignment="1">
      <alignment horizontal="right"/>
    </xf>
    <xf numFmtId="0" fontId="7" fillId="18" borderId="0" xfId="0" applyFont="1" applyFill="1"/>
    <xf numFmtId="0" fontId="7" fillId="18" borderId="2" xfId="0" applyFont="1" applyFill="1" applyBorder="1"/>
    <xf numFmtId="0" fontId="7" fillId="18" borderId="3" xfId="0" applyFont="1" applyFill="1" applyBorder="1"/>
    <xf numFmtId="0" fontId="0" fillId="28" borderId="4" xfId="0" applyFill="1" applyBorder="1"/>
    <xf numFmtId="0" fontId="7" fillId="18" borderId="5" xfId="0" applyFont="1" applyFill="1" applyBorder="1"/>
    <xf numFmtId="0" fontId="0" fillId="28" borderId="1" xfId="0" applyFill="1" applyBorder="1"/>
    <xf numFmtId="0" fontId="7" fillId="32" borderId="0" xfId="0" applyFont="1" applyFill="1"/>
    <xf numFmtId="0" fontId="7" fillId="32" borderId="2" xfId="0" applyFont="1" applyFill="1" applyBorder="1"/>
    <xf numFmtId="0" fontId="7" fillId="32" borderId="3" xfId="0" applyFont="1" applyFill="1" applyBorder="1" applyAlignment="1">
      <alignment horizontal="right"/>
    </xf>
    <xf numFmtId="0" fontId="7" fillId="32" borderId="5" xfId="0" applyFont="1" applyFill="1" applyBorder="1"/>
    <xf numFmtId="0" fontId="7" fillId="2" borderId="13" xfId="2" applyFont="1" applyBorder="1" applyAlignment="1">
      <alignment horizontal="right"/>
    </xf>
    <xf numFmtId="0" fontId="0" fillId="0" borderId="14" xfId="0" applyBorder="1" applyAlignment="1">
      <alignment horizontal="right"/>
    </xf>
    <xf numFmtId="0" fontId="0" fillId="0" borderId="15" xfId="0" applyBorder="1" applyAlignment="1">
      <alignment horizontal="right"/>
    </xf>
    <xf numFmtId="0" fontId="0" fillId="35" borderId="4" xfId="0" applyFill="1" applyBorder="1" applyAlignment="1">
      <alignment horizontal="right"/>
    </xf>
    <xf numFmtId="0" fontId="0" fillId="31" borderId="1" xfId="0" applyFill="1" applyBorder="1" applyAlignment="1">
      <alignment horizontal="right"/>
    </xf>
    <xf numFmtId="0" fontId="0" fillId="35" borderId="1" xfId="0" applyFill="1" applyBorder="1" applyAlignment="1">
      <alignment horizontal="right"/>
    </xf>
    <xf numFmtId="0" fontId="7" fillId="2" borderId="25" xfId="2" applyFont="1" applyBorder="1" applyAlignment="1">
      <alignment horizontal="right"/>
    </xf>
    <xf numFmtId="0" fontId="0" fillId="31" borderId="26" xfId="0" applyFill="1" applyBorder="1" applyAlignment="1">
      <alignment horizontal="right"/>
    </xf>
    <xf numFmtId="0" fontId="0" fillId="31" borderId="27" xfId="0" applyFill="1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27" xfId="0" applyBorder="1" applyAlignment="1">
      <alignment horizontal="right"/>
    </xf>
    <xf numFmtId="0" fontId="7" fillId="21" borderId="23" xfId="0" applyFont="1" applyFill="1" applyBorder="1"/>
    <xf numFmtId="0" fontId="0" fillId="16" borderId="21" xfId="0" applyFill="1" applyBorder="1"/>
    <xf numFmtId="0" fontId="0" fillId="16" borderId="23" xfId="0" applyFill="1" applyBorder="1"/>
    <xf numFmtId="0" fontId="0" fillId="0" borderId="21" xfId="0" applyBorder="1"/>
    <xf numFmtId="0" fontId="0" fillId="0" borderId="23" xfId="0" applyBorder="1"/>
    <xf numFmtId="0" fontId="7" fillId="22" borderId="0" xfId="0" applyFont="1" applyFill="1"/>
    <xf numFmtId="0" fontId="7" fillId="22" borderId="2" xfId="0" applyFont="1" applyFill="1" applyBorder="1"/>
    <xf numFmtId="0" fontId="7" fillId="22" borderId="3" xfId="0" applyFont="1" applyFill="1" applyBorder="1"/>
    <xf numFmtId="0" fontId="14" fillId="23" borderId="4" xfId="0" applyFont="1" applyFill="1" applyBorder="1"/>
    <xf numFmtId="0" fontId="7" fillId="22" borderId="5" xfId="0" applyFont="1" applyFill="1" applyBorder="1"/>
    <xf numFmtId="0" fontId="14" fillId="23" borderId="1" xfId="0" applyFont="1" applyFill="1" applyBorder="1"/>
    <xf numFmtId="0" fontId="7" fillId="11" borderId="0" xfId="11" applyFont="1" applyBorder="1"/>
    <xf numFmtId="0" fontId="7" fillId="11" borderId="2" xfId="11" applyFont="1" applyBorder="1"/>
    <xf numFmtId="0" fontId="7" fillId="11" borderId="3" xfId="11" applyFont="1" applyBorder="1"/>
    <xf numFmtId="0" fontId="14" fillId="13" borderId="4" xfId="13" applyFont="1" applyBorder="1" applyAlignment="1">
      <alignment wrapText="1"/>
    </xf>
    <xf numFmtId="0" fontId="14" fillId="26" borderId="4" xfId="0" applyFont="1" applyFill="1" applyBorder="1" applyAlignment="1">
      <alignment wrapText="1"/>
    </xf>
    <xf numFmtId="0" fontId="7" fillId="11" borderId="5" xfId="11" applyFont="1" applyBorder="1"/>
    <xf numFmtId="0" fontId="14" fillId="12" borderId="1" xfId="12" applyFont="1" applyBorder="1" applyAlignment="1">
      <alignment wrapText="1"/>
    </xf>
    <xf numFmtId="0" fontId="14" fillId="13" borderId="1" xfId="13" applyFont="1" applyBorder="1" applyAlignment="1">
      <alignment wrapText="1"/>
    </xf>
    <xf numFmtId="0" fontId="14" fillId="26" borderId="1" xfId="0" applyFont="1" applyFill="1" applyBorder="1" applyAlignment="1">
      <alignment wrapText="1"/>
    </xf>
    <xf numFmtId="0" fontId="7" fillId="10" borderId="0" xfId="10" applyFont="1" applyBorder="1"/>
    <xf numFmtId="0" fontId="7" fillId="10" borderId="2" xfId="10" applyFont="1" applyBorder="1"/>
    <xf numFmtId="0" fontId="10" fillId="10" borderId="3" xfId="10" applyBorder="1"/>
    <xf numFmtId="0" fontId="14" fillId="28" borderId="4" xfId="0" applyFont="1" applyFill="1" applyBorder="1" applyAlignment="1">
      <alignment wrapText="1"/>
    </xf>
    <xf numFmtId="0" fontId="10" fillId="10" borderId="5" xfId="10" applyBorder="1"/>
    <xf numFmtId="0" fontId="14" fillId="28" borderId="1" xfId="0" applyFont="1" applyFill="1" applyBorder="1" applyAlignment="1">
      <alignment wrapText="1"/>
    </xf>
    <xf numFmtId="0" fontId="0" fillId="29" borderId="0" xfId="0" applyFill="1"/>
    <xf numFmtId="0" fontId="0" fillId="29" borderId="0" xfId="0" applyFill="1" applyAlignment="1">
      <alignment horizontal="right"/>
    </xf>
    <xf numFmtId="0" fontId="0" fillId="0" borderId="34" xfId="0" applyBorder="1"/>
    <xf numFmtId="0" fontId="0" fillId="24" borderId="18" xfId="0" applyFill="1" applyBorder="1"/>
    <xf numFmtId="0" fontId="0" fillId="24" borderId="30" xfId="0" applyFill="1" applyBorder="1"/>
    <xf numFmtId="0" fontId="0" fillId="0" borderId="30" xfId="0" applyBorder="1"/>
    <xf numFmtId="0" fontId="7" fillId="22" borderId="30" xfId="0" applyFont="1" applyFill="1" applyBorder="1" applyAlignment="1">
      <alignment horizontal="center"/>
    </xf>
    <xf numFmtId="0" fontId="7" fillId="22" borderId="32" xfId="0" applyFont="1" applyFill="1" applyBorder="1" applyAlignment="1">
      <alignment horizontal="center"/>
    </xf>
    <xf numFmtId="1" fontId="0" fillId="0" borderId="0" xfId="17" applyNumberFormat="1" applyFont="1"/>
    <xf numFmtId="0" fontId="0" fillId="36" borderId="0" xfId="0" applyFill="1"/>
    <xf numFmtId="0" fontId="0" fillId="37" borderId="0" xfId="0" applyFill="1"/>
    <xf numFmtId="0" fontId="19" fillId="37" borderId="0" xfId="0" applyFont="1" applyFill="1"/>
    <xf numFmtId="0" fontId="20" fillId="37" borderId="0" xfId="0" applyFont="1" applyFill="1" applyAlignment="1">
      <alignment wrapText="1"/>
    </xf>
    <xf numFmtId="0" fontId="0" fillId="38" borderId="0" xfId="0" applyFill="1"/>
    <xf numFmtId="0" fontId="19" fillId="38" borderId="0" xfId="0" applyFont="1" applyFill="1"/>
    <xf numFmtId="0" fontId="20" fillId="38" borderId="0" xfId="0" applyFont="1" applyFill="1" applyAlignment="1">
      <alignment wrapText="1"/>
    </xf>
    <xf numFmtId="0" fontId="0" fillId="39" borderId="0" xfId="0" applyFill="1"/>
    <xf numFmtId="0" fontId="0" fillId="40" borderId="0" xfId="0" applyFill="1"/>
    <xf numFmtId="0" fontId="18" fillId="38" borderId="7" xfId="16" applyFill="1"/>
    <xf numFmtId="0" fontId="0" fillId="38" borderId="11" xfId="0" applyFill="1" applyBorder="1"/>
    <xf numFmtId="0" fontId="0" fillId="38" borderId="10" xfId="0" applyFill="1" applyBorder="1"/>
    <xf numFmtId="0" fontId="0" fillId="38" borderId="12" xfId="0" applyFill="1" applyBorder="1"/>
    <xf numFmtId="0" fontId="18" fillId="37" borderId="7" xfId="16" applyFill="1"/>
    <xf numFmtId="0" fontId="0" fillId="37" borderId="11" xfId="0" applyFill="1" applyBorder="1"/>
    <xf numFmtId="0" fontId="0" fillId="37" borderId="10" xfId="0" applyFill="1" applyBorder="1"/>
    <xf numFmtId="0" fontId="0" fillId="37" borderId="12" xfId="0" applyFill="1" applyBorder="1"/>
    <xf numFmtId="0" fontId="20" fillId="40" borderId="0" xfId="0" applyFont="1" applyFill="1" applyAlignment="1">
      <alignment wrapText="1"/>
    </xf>
    <xf numFmtId="0" fontId="0" fillId="37" borderId="34" xfId="0" applyFill="1" applyBorder="1"/>
    <xf numFmtId="0" fontId="0" fillId="38" borderId="34" xfId="0" applyFill="1" applyBorder="1"/>
    <xf numFmtId="0" fontId="22" fillId="0" borderId="0" xfId="0" applyFont="1"/>
    <xf numFmtId="0" fontId="23" fillId="0" borderId="0" xfId="0" applyFont="1" applyAlignment="1">
      <alignment wrapText="1"/>
    </xf>
    <xf numFmtId="0" fontId="23" fillId="0" borderId="0" xfId="0" applyFont="1" applyAlignment="1">
      <alignment horizontal="center" wrapText="1"/>
    </xf>
    <xf numFmtId="164" fontId="23" fillId="0" borderId="0" xfId="17" applyNumberFormat="1" applyFont="1" applyAlignment="1">
      <alignment horizontal="center" wrapText="1"/>
    </xf>
    <xf numFmtId="0" fontId="25" fillId="0" borderId="0" xfId="0" applyFont="1"/>
    <xf numFmtId="0" fontId="28" fillId="38" borderId="0" xfId="0" applyFont="1" applyFill="1" applyAlignment="1">
      <alignment wrapText="1"/>
    </xf>
    <xf numFmtId="0" fontId="29" fillId="37" borderId="0" xfId="0" applyFont="1" applyFill="1"/>
    <xf numFmtId="0" fontId="28" fillId="37" borderId="0" xfId="0" applyFont="1" applyFill="1" applyAlignment="1">
      <alignment wrapText="1"/>
    </xf>
    <xf numFmtId="0" fontId="0" fillId="37" borderId="33" xfId="0" applyFill="1" applyBorder="1"/>
    <xf numFmtId="0" fontId="0" fillId="39" borderId="33" xfId="0" applyFill="1" applyBorder="1"/>
    <xf numFmtId="0" fontId="0" fillId="39" borderId="34" xfId="0" applyFill="1" applyBorder="1"/>
    <xf numFmtId="0" fontId="0" fillId="38" borderId="33" xfId="0" applyFill="1" applyBorder="1"/>
    <xf numFmtId="0" fontId="0" fillId="41" borderId="34" xfId="0" applyFill="1" applyBorder="1"/>
    <xf numFmtId="0" fontId="0" fillId="41" borderId="43" xfId="0" applyFill="1" applyBorder="1"/>
    <xf numFmtId="0" fontId="0" fillId="41" borderId="39" xfId="0" applyFill="1" applyBorder="1"/>
    <xf numFmtId="0" fontId="0" fillId="41" borderId="0" xfId="0" applyFill="1"/>
    <xf numFmtId="0" fontId="0" fillId="41" borderId="40" xfId="0" applyFill="1" applyBorder="1"/>
    <xf numFmtId="0" fontId="0" fillId="41" borderId="41" xfId="0" applyFill="1" applyBorder="1"/>
    <xf numFmtId="0" fontId="0" fillId="41" borderId="33" xfId="0" applyFill="1" applyBorder="1"/>
    <xf numFmtId="0" fontId="0" fillId="41" borderId="42" xfId="0" applyFill="1" applyBorder="1"/>
    <xf numFmtId="0" fontId="28" fillId="39" borderId="0" xfId="0" applyFont="1" applyFill="1"/>
    <xf numFmtId="0" fontId="0" fillId="39" borderId="35" xfId="0" applyFill="1" applyBorder="1"/>
    <xf numFmtId="0" fontId="0" fillId="39" borderId="44" xfId="0" applyFill="1" applyBorder="1"/>
    <xf numFmtId="0" fontId="0" fillId="39" borderId="45" xfId="0" applyFill="1" applyBorder="1"/>
    <xf numFmtId="0" fontId="0" fillId="0" borderId="46" xfId="0" applyBorder="1"/>
    <xf numFmtId="1" fontId="0" fillId="38" borderId="46" xfId="0" applyNumberFormat="1" applyFill="1" applyBorder="1"/>
    <xf numFmtId="0" fontId="0" fillId="38" borderId="45" xfId="0" applyFill="1" applyBorder="1"/>
    <xf numFmtId="0" fontId="0" fillId="38" borderId="44" xfId="0" applyFill="1" applyBorder="1"/>
    <xf numFmtId="1" fontId="0" fillId="37" borderId="46" xfId="0" applyNumberFormat="1" applyFill="1" applyBorder="1"/>
    <xf numFmtId="0" fontId="0" fillId="37" borderId="44" xfId="0" applyFill="1" applyBorder="1"/>
    <xf numFmtId="0" fontId="30" fillId="39" borderId="0" xfId="0" applyFont="1" applyFill="1"/>
    <xf numFmtId="0" fontId="30" fillId="40" borderId="0" xfId="0" applyFont="1" applyFill="1"/>
    <xf numFmtId="0" fontId="31" fillId="37" borderId="0" xfId="0" applyFont="1" applyFill="1" applyAlignment="1">
      <alignment wrapText="1"/>
    </xf>
    <xf numFmtId="0" fontId="31" fillId="38" borderId="0" xfId="0" applyFont="1" applyFill="1" applyAlignment="1">
      <alignment wrapText="1"/>
    </xf>
    <xf numFmtId="0" fontId="30" fillId="41" borderId="0" xfId="0" applyFont="1" applyFill="1"/>
    <xf numFmtId="0" fontId="30" fillId="41" borderId="33" xfId="0" applyFont="1" applyFill="1" applyBorder="1"/>
    <xf numFmtId="0" fontId="32" fillId="0" borderId="7" xfId="16" applyFont="1" applyAlignment="1">
      <alignment horizontal="right"/>
    </xf>
    <xf numFmtId="0" fontId="33" fillId="0" borderId="0" xfId="0" applyFont="1" applyAlignment="1">
      <alignment horizontal="right"/>
    </xf>
    <xf numFmtId="0" fontId="30" fillId="36" borderId="0" xfId="0" applyFont="1" applyFill="1"/>
    <xf numFmtId="0" fontId="28" fillId="36" borderId="0" xfId="0" applyFont="1" applyFill="1"/>
    <xf numFmtId="0" fontId="7" fillId="6" borderId="48" xfId="6" applyFont="1" applyBorder="1"/>
    <xf numFmtId="0" fontId="0" fillId="36" borderId="0" xfId="0" applyFill="1" applyAlignment="1">
      <alignment horizontal="center"/>
    </xf>
    <xf numFmtId="0" fontId="0" fillId="0" borderId="0" xfId="0" applyAlignment="1">
      <alignment horizontal="center"/>
    </xf>
    <xf numFmtId="0" fontId="28" fillId="0" borderId="0" xfId="0" applyFont="1" applyAlignment="1">
      <alignment wrapText="1"/>
    </xf>
    <xf numFmtId="0" fontId="37" fillId="0" borderId="0" xfId="0" applyFont="1" applyAlignment="1">
      <alignment horizontal="center" wrapText="1"/>
    </xf>
    <xf numFmtId="1" fontId="0" fillId="0" borderId="0" xfId="17" applyNumberFormat="1" applyFont="1" applyAlignment="1">
      <alignment horizontal="center"/>
    </xf>
    <xf numFmtId="164" fontId="25" fillId="0" borderId="0" xfId="17" applyNumberFormat="1" applyFont="1"/>
    <xf numFmtId="1" fontId="0" fillId="36" borderId="0" xfId="0" applyNumberFormat="1" applyFill="1" applyAlignment="1">
      <alignment horizontal="center"/>
    </xf>
    <xf numFmtId="0" fontId="25" fillId="36" borderId="0" xfId="0" applyFont="1" applyFill="1"/>
    <xf numFmtId="0" fontId="0" fillId="38" borderId="0" xfId="0" applyFill="1" applyAlignment="1">
      <alignment horizontal="center"/>
    </xf>
    <xf numFmtId="1" fontId="0" fillId="38" borderId="0" xfId="0" applyNumberFormat="1" applyFill="1" applyAlignment="1">
      <alignment horizontal="center"/>
    </xf>
    <xf numFmtId="0" fontId="0" fillId="37" borderId="0" xfId="0" applyFill="1" applyAlignment="1">
      <alignment horizontal="center"/>
    </xf>
    <xf numFmtId="1" fontId="0" fillId="37" borderId="0" xfId="0" applyNumberFormat="1" applyFill="1" applyAlignment="1">
      <alignment horizontal="center"/>
    </xf>
    <xf numFmtId="0" fontId="0" fillId="40" borderId="0" xfId="0" applyFill="1" applyAlignment="1">
      <alignment horizontal="center"/>
    </xf>
    <xf numFmtId="1" fontId="0" fillId="40" borderId="0" xfId="0" applyNumberFormat="1" applyFill="1" applyAlignment="1">
      <alignment horizontal="center"/>
    </xf>
    <xf numFmtId="0" fontId="27" fillId="37" borderId="0" xfId="0" applyFont="1" applyFill="1"/>
    <xf numFmtId="0" fontId="26" fillId="38" borderId="0" xfId="0" applyFont="1" applyFill="1"/>
    <xf numFmtId="0" fontId="26" fillId="40" borderId="0" xfId="0" applyFont="1" applyFill="1"/>
    <xf numFmtId="0" fontId="0" fillId="37" borderId="49" xfId="0" applyFill="1" applyBorder="1"/>
    <xf numFmtId="0" fontId="0" fillId="37" borderId="50" xfId="0" applyFill="1" applyBorder="1"/>
    <xf numFmtId="0" fontId="0" fillId="37" borderId="51" xfId="0" applyFill="1" applyBorder="1"/>
    <xf numFmtId="0" fontId="0" fillId="0" borderId="49" xfId="0" applyBorder="1"/>
    <xf numFmtId="0" fontId="0" fillId="38" borderId="49" xfId="0" applyFill="1" applyBorder="1"/>
    <xf numFmtId="0" fontId="0" fillId="38" borderId="51" xfId="0" applyFill="1" applyBorder="1"/>
    <xf numFmtId="0" fontId="0" fillId="40" borderId="49" xfId="0" applyFill="1" applyBorder="1"/>
    <xf numFmtId="0" fontId="0" fillId="40" borderId="50" xfId="0" applyFill="1" applyBorder="1"/>
    <xf numFmtId="0" fontId="0" fillId="40" borderId="51" xfId="0" applyFill="1" applyBorder="1"/>
    <xf numFmtId="0" fontId="26" fillId="37" borderId="0" xfId="0" applyFont="1" applyFill="1"/>
    <xf numFmtId="0" fontId="0" fillId="38" borderId="50" xfId="0" applyFill="1" applyBorder="1"/>
    <xf numFmtId="1" fontId="38" fillId="0" borderId="0" xfId="17" applyNumberFormat="1" applyFont="1" applyAlignment="1">
      <alignment horizontal="center"/>
    </xf>
    <xf numFmtId="0" fontId="38" fillId="0" borderId="0" xfId="0" applyFont="1" applyAlignment="1">
      <alignment horizontal="center"/>
    </xf>
    <xf numFmtId="0" fontId="36" fillId="37" borderId="0" xfId="0" applyFont="1" applyFill="1" applyAlignment="1">
      <alignment horizontal="center"/>
    </xf>
    <xf numFmtId="0" fontId="36" fillId="38" borderId="0" xfId="0" applyFont="1" applyFill="1" applyAlignment="1">
      <alignment horizontal="center"/>
    </xf>
    <xf numFmtId="0" fontId="36" fillId="40" borderId="0" xfId="0" applyFont="1" applyFill="1" applyAlignment="1">
      <alignment horizontal="center"/>
    </xf>
    <xf numFmtId="0" fontId="36" fillId="0" borderId="0" xfId="0" applyFont="1" applyAlignment="1">
      <alignment horizontal="center"/>
    </xf>
    <xf numFmtId="0" fontId="36" fillId="36" borderId="0" xfId="0" applyFont="1" applyFill="1" applyAlignment="1">
      <alignment horizontal="center"/>
    </xf>
    <xf numFmtId="0" fontId="18" fillId="39" borderId="7" xfId="16" applyFill="1"/>
    <xf numFmtId="0" fontId="18" fillId="39" borderId="7" xfId="16" applyFill="1" applyAlignment="1">
      <alignment horizontal="center"/>
    </xf>
    <xf numFmtId="0" fontId="18" fillId="41" borderId="7" xfId="16" applyFill="1"/>
    <xf numFmtId="0" fontId="21" fillId="0" borderId="36" xfId="18"/>
    <xf numFmtId="0" fontId="35" fillId="0" borderId="47" xfId="21"/>
    <xf numFmtId="0" fontId="21" fillId="0" borderId="36" xfId="18" applyAlignment="1">
      <alignment wrapText="1"/>
    </xf>
    <xf numFmtId="164" fontId="21" fillId="0" borderId="36" xfId="18" applyNumberFormat="1"/>
    <xf numFmtId="0" fontId="35" fillId="0" borderId="47" xfId="21" applyAlignment="1">
      <alignment horizontal="right"/>
    </xf>
    <xf numFmtId="0" fontId="3" fillId="42" borderId="53" xfId="0" applyFont="1" applyFill="1" applyBorder="1"/>
    <xf numFmtId="0" fontId="3" fillId="42" borderId="54" xfId="0" applyFont="1" applyFill="1" applyBorder="1"/>
    <xf numFmtId="0" fontId="7" fillId="6" borderId="56" xfId="6" applyFont="1" applyBorder="1"/>
    <xf numFmtId="0" fontId="3" fillId="42" borderId="59" xfId="0" applyFont="1" applyFill="1" applyBorder="1"/>
    <xf numFmtId="0" fontId="3" fillId="42" borderId="4" xfId="0" applyFont="1" applyFill="1" applyBorder="1"/>
    <xf numFmtId="0" fontId="3" fillId="42" borderId="60" xfId="0" applyFont="1" applyFill="1" applyBorder="1"/>
    <xf numFmtId="0" fontId="3" fillId="34" borderId="61" xfId="0" applyFont="1" applyFill="1" applyBorder="1"/>
    <xf numFmtId="0" fontId="3" fillId="34" borderId="1" xfId="0" applyFont="1" applyFill="1" applyBorder="1"/>
    <xf numFmtId="0" fontId="3" fillId="34" borderId="62" xfId="0" applyFont="1" applyFill="1" applyBorder="1"/>
    <xf numFmtId="0" fontId="3" fillId="42" borderId="61" xfId="0" applyFont="1" applyFill="1" applyBorder="1"/>
    <xf numFmtId="0" fontId="3" fillId="42" borderId="1" xfId="0" applyFont="1" applyFill="1" applyBorder="1"/>
    <xf numFmtId="0" fontId="3" fillId="42" borderId="62" xfId="0" applyFont="1" applyFill="1" applyBorder="1"/>
    <xf numFmtId="0" fontId="7" fillId="6" borderId="52" xfId="6" applyFont="1" applyBorder="1"/>
    <xf numFmtId="0" fontId="3" fillId="42" borderId="63" xfId="0" applyFont="1" applyFill="1" applyBorder="1"/>
    <xf numFmtId="0" fontId="3" fillId="42" borderId="64" xfId="0" applyFont="1" applyFill="1" applyBorder="1"/>
    <xf numFmtId="0" fontId="3" fillId="43" borderId="21" xfId="0" applyFont="1" applyFill="1" applyBorder="1" applyAlignment="1">
      <alignment horizontal="right"/>
    </xf>
    <xf numFmtId="0" fontId="3" fillId="43" borderId="55" xfId="0" applyFont="1" applyFill="1" applyBorder="1" applyAlignment="1">
      <alignment horizontal="right"/>
    </xf>
    <xf numFmtId="0" fontId="3" fillId="16" borderId="21" xfId="0" applyFont="1" applyFill="1" applyBorder="1" applyAlignment="1">
      <alignment horizontal="right"/>
    </xf>
    <xf numFmtId="0" fontId="3" fillId="16" borderId="55" xfId="0" applyFont="1" applyFill="1" applyBorder="1" applyAlignment="1">
      <alignment horizontal="right"/>
    </xf>
    <xf numFmtId="0" fontId="7" fillId="18" borderId="69" xfId="0" applyFont="1" applyFill="1" applyBorder="1" applyAlignment="1">
      <alignment horizontal="right"/>
    </xf>
    <xf numFmtId="0" fontId="5" fillId="16" borderId="69" xfId="0" applyFont="1" applyFill="1" applyBorder="1" applyAlignment="1">
      <alignment horizontal="center"/>
    </xf>
    <xf numFmtId="0" fontId="5" fillId="0" borderId="71" xfId="0" applyFont="1" applyBorder="1" applyAlignment="1">
      <alignment horizontal="center"/>
    </xf>
    <xf numFmtId="0" fontId="5" fillId="16" borderId="71" xfId="0" applyFont="1" applyFill="1" applyBorder="1" applyAlignment="1">
      <alignment horizontal="center"/>
    </xf>
    <xf numFmtId="0" fontId="5" fillId="0" borderId="73" xfId="0" applyFont="1" applyBorder="1" applyAlignment="1">
      <alignment horizontal="center"/>
    </xf>
    <xf numFmtId="0" fontId="0" fillId="0" borderId="70" xfId="0" applyBorder="1"/>
    <xf numFmtId="0" fontId="46" fillId="45" borderId="68" xfId="0" applyFont="1" applyFill="1" applyBorder="1" applyAlignment="1">
      <alignment horizontal="right"/>
    </xf>
    <xf numFmtId="0" fontId="46" fillId="45" borderId="70" xfId="0" applyFont="1" applyFill="1" applyBorder="1" applyAlignment="1">
      <alignment horizontal="right"/>
    </xf>
    <xf numFmtId="0" fontId="46" fillId="45" borderId="72" xfId="0" applyFont="1" applyFill="1" applyBorder="1" applyAlignment="1">
      <alignment horizontal="right"/>
    </xf>
    <xf numFmtId="0" fontId="46" fillId="45" borderId="68" xfId="0" applyFont="1" applyFill="1" applyBorder="1"/>
    <xf numFmtId="0" fontId="46" fillId="45" borderId="74" xfId="0" applyFont="1" applyFill="1" applyBorder="1" applyAlignment="1">
      <alignment horizontal="center"/>
    </xf>
    <xf numFmtId="0" fontId="5" fillId="46" borderId="6" xfId="0" applyFont="1" applyFill="1" applyBorder="1" applyAlignment="1">
      <alignment horizontal="center"/>
    </xf>
    <xf numFmtId="0" fontId="5" fillId="46" borderId="71" xfId="0" applyFont="1" applyFill="1" applyBorder="1" applyAlignment="1">
      <alignment horizontal="center"/>
    </xf>
    <xf numFmtId="0" fontId="7" fillId="32" borderId="75" xfId="0" applyFont="1" applyFill="1" applyBorder="1"/>
    <xf numFmtId="0" fontId="7" fillId="32" borderId="76" xfId="0" applyFont="1" applyFill="1" applyBorder="1"/>
    <xf numFmtId="0" fontId="7" fillId="32" borderId="77" xfId="0" applyFont="1" applyFill="1" applyBorder="1"/>
    <xf numFmtId="0" fontId="4" fillId="17" borderId="78" xfId="0" applyFont="1" applyFill="1" applyBorder="1"/>
    <xf numFmtId="0" fontId="4" fillId="17" borderId="79" xfId="0" applyFont="1" applyFill="1" applyBorder="1"/>
    <xf numFmtId="0" fontId="4" fillId="17" borderId="80" xfId="0" applyFont="1" applyFill="1" applyBorder="1"/>
    <xf numFmtId="0" fontId="4" fillId="0" borderId="78" xfId="0" applyFont="1" applyBorder="1"/>
    <xf numFmtId="0" fontId="4" fillId="0" borderId="79" xfId="0" applyFont="1" applyBorder="1"/>
    <xf numFmtId="0" fontId="4" fillId="0" borderId="80" xfId="0" applyFont="1" applyBorder="1"/>
    <xf numFmtId="0" fontId="4" fillId="17" borderId="81" xfId="0" applyFont="1" applyFill="1" applyBorder="1"/>
    <xf numFmtId="0" fontId="4" fillId="17" borderId="82" xfId="0" applyFont="1" applyFill="1" applyBorder="1"/>
    <xf numFmtId="0" fontId="4" fillId="17" borderId="83" xfId="0" applyFont="1" applyFill="1" applyBorder="1"/>
    <xf numFmtId="0" fontId="4" fillId="47" borderId="78" xfId="0" applyFont="1" applyFill="1" applyBorder="1"/>
    <xf numFmtId="0" fontId="4" fillId="38" borderId="78" xfId="0" applyFont="1" applyFill="1" applyBorder="1"/>
    <xf numFmtId="0" fontId="7" fillId="32" borderId="84" xfId="0" applyFont="1" applyFill="1" applyBorder="1"/>
    <xf numFmtId="0" fontId="4" fillId="17" borderId="85" xfId="0" applyFont="1" applyFill="1" applyBorder="1"/>
    <xf numFmtId="0" fontId="4" fillId="0" borderId="85" xfId="0" applyFont="1" applyBorder="1"/>
    <xf numFmtId="0" fontId="4" fillId="17" borderId="86" xfId="0" applyFont="1" applyFill="1" applyBorder="1"/>
    <xf numFmtId="0" fontId="2" fillId="17" borderId="85" xfId="0" applyFont="1" applyFill="1" applyBorder="1"/>
    <xf numFmtId="0" fontId="2" fillId="0" borderId="85" xfId="0" applyFont="1" applyBorder="1"/>
    <xf numFmtId="0" fontId="47" fillId="48" borderId="28" xfId="0" applyFont="1" applyFill="1" applyBorder="1"/>
    <xf numFmtId="0" fontId="47" fillId="49" borderId="28" xfId="0" applyFont="1" applyFill="1" applyBorder="1"/>
    <xf numFmtId="0" fontId="47" fillId="49" borderId="16" xfId="0" applyFont="1" applyFill="1" applyBorder="1"/>
    <xf numFmtId="0" fontId="48" fillId="49" borderId="28" xfId="0" applyFont="1" applyFill="1" applyBorder="1"/>
    <xf numFmtId="0" fontId="48" fillId="48" borderId="28" xfId="0" applyFont="1" applyFill="1" applyBorder="1"/>
    <xf numFmtId="0" fontId="49" fillId="48" borderId="28" xfId="0" applyFont="1" applyFill="1" applyBorder="1" applyAlignment="1">
      <alignment horizontal="center"/>
    </xf>
    <xf numFmtId="0" fontId="49" fillId="48" borderId="88" xfId="0" applyFont="1" applyFill="1" applyBorder="1" applyAlignment="1">
      <alignment horizontal="center"/>
    </xf>
    <xf numFmtId="0" fontId="3" fillId="51" borderId="4" xfId="0" applyFont="1" applyFill="1" applyBorder="1"/>
    <xf numFmtId="0" fontId="3" fillId="50" borderId="61" xfId="0" applyFont="1" applyFill="1" applyBorder="1"/>
    <xf numFmtId="0" fontId="3" fillId="50" borderId="1" xfId="0" applyFont="1" applyFill="1" applyBorder="1"/>
    <xf numFmtId="0" fontId="3" fillId="50" borderId="62" xfId="0" applyFont="1" applyFill="1" applyBorder="1"/>
    <xf numFmtId="0" fontId="50" fillId="33" borderId="56" xfId="0" applyFont="1" applyFill="1" applyBorder="1" applyAlignment="1">
      <alignment wrapText="1"/>
    </xf>
    <xf numFmtId="0" fontId="50" fillId="33" borderId="24" xfId="0" applyFont="1" applyFill="1" applyBorder="1" applyAlignment="1">
      <alignment wrapText="1"/>
    </xf>
    <xf numFmtId="0" fontId="50" fillId="33" borderId="25" xfId="0" applyFont="1" applyFill="1" applyBorder="1" applyAlignment="1">
      <alignment wrapText="1"/>
    </xf>
    <xf numFmtId="0" fontId="50" fillId="33" borderId="57" xfId="0" applyFont="1" applyFill="1" applyBorder="1" applyAlignment="1">
      <alignment wrapText="1"/>
    </xf>
    <xf numFmtId="0" fontId="50" fillId="33" borderId="58" xfId="0" applyFont="1" applyFill="1" applyBorder="1" applyAlignment="1">
      <alignment wrapText="1"/>
    </xf>
    <xf numFmtId="0" fontId="51" fillId="0" borderId="0" xfId="0" applyFont="1" applyAlignment="1">
      <alignment wrapText="1"/>
    </xf>
    <xf numFmtId="0" fontId="29" fillId="0" borderId="0" xfId="0" applyFont="1"/>
    <xf numFmtId="0" fontId="52" fillId="17" borderId="28" xfId="0" applyFont="1" applyFill="1" applyBorder="1" applyAlignment="1">
      <alignment horizontal="right"/>
    </xf>
    <xf numFmtId="0" fontId="52" fillId="17" borderId="88" xfId="0" applyFont="1" applyFill="1" applyBorder="1" applyAlignment="1">
      <alignment horizontal="right"/>
    </xf>
    <xf numFmtId="0" fontId="52" fillId="19" borderId="28" xfId="0" applyFont="1" applyFill="1" applyBorder="1" applyAlignment="1">
      <alignment horizontal="right"/>
    </xf>
    <xf numFmtId="0" fontId="52" fillId="19" borderId="88" xfId="0" applyFont="1" applyFill="1" applyBorder="1" applyAlignment="1">
      <alignment horizontal="right"/>
    </xf>
    <xf numFmtId="0" fontId="52" fillId="17" borderId="16" xfId="0" applyFont="1" applyFill="1" applyBorder="1" applyAlignment="1">
      <alignment horizontal="right"/>
    </xf>
    <xf numFmtId="0" fontId="52" fillId="17" borderId="87" xfId="0" applyFont="1" applyFill="1" applyBorder="1" applyAlignment="1">
      <alignment horizontal="right"/>
    </xf>
    <xf numFmtId="0" fontId="1" fillId="0" borderId="0" xfId="0" applyFont="1" applyAlignment="1">
      <alignment wrapText="1"/>
    </xf>
    <xf numFmtId="0" fontId="9" fillId="52" borderId="0" xfId="0" applyFont="1" applyFill="1"/>
    <xf numFmtId="0" fontId="15" fillId="52" borderId="0" xfId="0" applyFont="1" applyFill="1"/>
    <xf numFmtId="0" fontId="0" fillId="52" borderId="0" xfId="0" applyFill="1"/>
    <xf numFmtId="0" fontId="1" fillId="37" borderId="0" xfId="0" applyFont="1" applyFill="1" applyAlignment="1">
      <alignment wrapText="1"/>
    </xf>
    <xf numFmtId="0" fontId="1" fillId="53" borderId="0" xfId="0" applyFont="1" applyFill="1" applyAlignment="1">
      <alignment wrapText="1"/>
    </xf>
    <xf numFmtId="0" fontId="1" fillId="54" borderId="0" xfId="0" applyFont="1" applyFill="1" applyAlignment="1">
      <alignment wrapText="1"/>
    </xf>
    <xf numFmtId="0" fontId="9" fillId="55" borderId="0" xfId="0" applyFont="1" applyFill="1"/>
    <xf numFmtId="0" fontId="1" fillId="55" borderId="0" xfId="0" applyFont="1" applyFill="1" applyAlignment="1">
      <alignment wrapText="1"/>
    </xf>
    <xf numFmtId="0" fontId="15" fillId="55" borderId="0" xfId="0" applyFont="1" applyFill="1"/>
    <xf numFmtId="0" fontId="1" fillId="56" borderId="0" xfId="0" applyFont="1" applyFill="1" applyAlignment="1">
      <alignment wrapText="1"/>
    </xf>
    <xf numFmtId="0" fontId="1" fillId="57" borderId="0" xfId="0" applyFont="1" applyFill="1" applyAlignment="1">
      <alignment wrapText="1"/>
    </xf>
    <xf numFmtId="0" fontId="1" fillId="58" borderId="0" xfId="0" applyFont="1" applyFill="1" applyAlignment="1">
      <alignment wrapText="1"/>
    </xf>
    <xf numFmtId="0" fontId="6" fillId="59" borderId="0" xfId="5" applyFill="1"/>
    <xf numFmtId="0" fontId="6" fillId="39" borderId="0" xfId="15" applyFill="1"/>
    <xf numFmtId="0" fontId="1" fillId="39" borderId="0" xfId="0" applyFont="1" applyFill="1" applyAlignment="1">
      <alignment wrapText="1"/>
    </xf>
    <xf numFmtId="0" fontId="1" fillId="36" borderId="0" xfId="0" applyFont="1" applyFill="1" applyAlignment="1">
      <alignment wrapText="1"/>
    </xf>
    <xf numFmtId="0" fontId="1" fillId="43" borderId="21" xfId="0" quotePrefix="1" applyFont="1" applyFill="1" applyBorder="1" applyAlignment="1">
      <alignment horizontal="right"/>
    </xf>
    <xf numFmtId="0" fontId="1" fillId="43" borderId="55" xfId="0" quotePrefix="1" applyFont="1" applyFill="1" applyBorder="1" applyAlignment="1">
      <alignment horizontal="right"/>
    </xf>
    <xf numFmtId="0" fontId="18" fillId="36" borderId="7" xfId="16" applyFill="1" applyAlignment="1">
      <alignment horizontal="left"/>
    </xf>
    <xf numFmtId="0" fontId="21" fillId="0" borderId="36" xfId="18" applyAlignment="1">
      <alignment horizontal="left"/>
    </xf>
    <xf numFmtId="0" fontId="18" fillId="38" borderId="7" xfId="16" applyFill="1" applyAlignment="1">
      <alignment horizontal="left"/>
    </xf>
    <xf numFmtId="0" fontId="18" fillId="41" borderId="7" xfId="16" applyFill="1" applyAlignment="1">
      <alignment horizontal="left"/>
    </xf>
    <xf numFmtId="0" fontId="18" fillId="39" borderId="7" xfId="16" applyFill="1" applyAlignment="1">
      <alignment horizontal="left"/>
    </xf>
    <xf numFmtId="0" fontId="18" fillId="37" borderId="7" xfId="16" applyFill="1" applyAlignment="1">
      <alignment horizontal="left"/>
    </xf>
    <xf numFmtId="0" fontId="18" fillId="40" borderId="7" xfId="16" applyFill="1" applyAlignment="1">
      <alignment horizontal="left"/>
    </xf>
    <xf numFmtId="0" fontId="49" fillId="48" borderId="16" xfId="0" applyFont="1" applyFill="1" applyBorder="1" applyAlignment="1">
      <alignment horizontal="left"/>
    </xf>
    <xf numFmtId="0" fontId="49" fillId="48" borderId="89" xfId="0" applyFont="1" applyFill="1" applyBorder="1" applyAlignment="1">
      <alignment horizontal="left"/>
    </xf>
    <xf numFmtId="0" fontId="45" fillId="44" borderId="65" xfId="0" applyFont="1" applyFill="1" applyBorder="1" applyAlignment="1">
      <alignment horizontal="center"/>
    </xf>
    <xf numFmtId="0" fontId="45" fillId="44" borderId="66" xfId="0" applyFont="1" applyFill="1" applyBorder="1" applyAlignment="1">
      <alignment horizontal="center"/>
    </xf>
    <xf numFmtId="0" fontId="45" fillId="44" borderId="67" xfId="0" applyFont="1" applyFill="1" applyBorder="1" applyAlignment="1">
      <alignment horizontal="center"/>
    </xf>
    <xf numFmtId="0" fontId="9" fillId="0" borderId="0" xfId="0" applyFont="1" applyAlignment="1">
      <alignment horizontal="left"/>
    </xf>
    <xf numFmtId="0" fontId="0" fillId="0" borderId="0" xfId="0"/>
    <xf numFmtId="0" fontId="53" fillId="0" borderId="0" xfId="0" applyFont="1"/>
    <xf numFmtId="0" fontId="0" fillId="0" borderId="0" xfId="0" applyAlignment="1">
      <alignment wrapText="1"/>
    </xf>
    <xf numFmtId="0" fontId="54" fillId="0" borderId="0" xfId="0" applyFont="1" applyAlignment="1">
      <alignment wrapText="1"/>
    </xf>
    <xf numFmtId="1" fontId="25" fillId="0" borderId="0" xfId="0" applyNumberFormat="1" applyFont="1"/>
    <xf numFmtId="1" fontId="0" fillId="0" borderId="0" xfId="0" applyNumberFormat="1"/>
    <xf numFmtId="0" fontId="25" fillId="0" borderId="0" xfId="0" applyFont="1" applyAlignment="1">
      <alignment wrapText="1"/>
    </xf>
  </cellXfs>
  <cellStyles count="22">
    <cellStyle name="20% - Accent3" xfId="7" builtinId="38"/>
    <cellStyle name="20% - Accent5" xfId="12" builtinId="46"/>
    <cellStyle name="40% - Accent2" xfId="5" builtinId="35"/>
    <cellStyle name="40% - Accent3" xfId="8" builtinId="39"/>
    <cellStyle name="40% - Accent5" xfId="13" builtinId="47"/>
    <cellStyle name="40% - Accent6" xfId="15" builtinId="51"/>
    <cellStyle name="60% - Accent1" xfId="3" builtinId="32"/>
    <cellStyle name="60% - Accent3" xfId="9" builtinId="40"/>
    <cellStyle name="Accent1" xfId="2" builtinId="29"/>
    <cellStyle name="Accent2" xfId="4" builtinId="33"/>
    <cellStyle name="Accent3" xfId="6" builtinId="37"/>
    <cellStyle name="Accent4" xfId="10" builtinId="41"/>
    <cellStyle name="Accent5" xfId="11" builtinId="45"/>
    <cellStyle name="Accent6" xfId="14" builtinId="49"/>
    <cellStyle name="Comma" xfId="17" builtinId="3"/>
    <cellStyle name="Explanatory Text" xfId="1" builtinId="53"/>
    <cellStyle name="Heading 1" xfId="21" builtinId="16"/>
    <cellStyle name="Heading 2" xfId="18" builtinId="17"/>
    <cellStyle name="Heading 3" xfId="16" builtinId="18"/>
    <cellStyle name="Negative Stat" xfId="19" xr:uid="{C4C9D757-7177-455F-86AF-AF354CE9CE63}"/>
    <cellStyle name="Normal" xfId="0" builtinId="0" customBuiltin="1"/>
    <cellStyle name="Positive Stat" xfId="20" xr:uid="{E43D84FE-775C-4707-9162-7544189D44CE}"/>
  </cellStyles>
  <dxfs count="31">
    <dxf>
      <alignment horizontal="general" vertical="bottom" textRotation="0" wrapText="1" indent="0" justifyLastLine="0" shrinkToFit="0" readingOrder="0"/>
    </dxf>
    <dxf>
      <numFmt numFmtId="1" formatCode="0"/>
    </dxf>
    <dxf>
      <font>
        <b/>
        <family val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48</xdr:row>
          <xdr:rowOff>30480</xdr:rowOff>
        </xdr:from>
        <xdr:to>
          <xdr:col>7</xdr:col>
          <xdr:colOff>289560</xdr:colOff>
          <xdr:row>48</xdr:row>
          <xdr:rowOff>152400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Bembo"/>
                </a:rPr>
                <a:t>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6</xdr:row>
          <xdr:rowOff>15240</xdr:rowOff>
        </xdr:from>
        <xdr:to>
          <xdr:col>3</xdr:col>
          <xdr:colOff>411480</xdr:colOff>
          <xdr:row>6</xdr:row>
          <xdr:rowOff>167640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Bembo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</xdr:colOff>
          <xdr:row>5</xdr:row>
          <xdr:rowOff>0</xdr:rowOff>
        </xdr:from>
        <xdr:to>
          <xdr:col>25</xdr:col>
          <xdr:colOff>12382</xdr:colOff>
          <xdr:row>6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1016558" y="1178859"/>
              <a:ext cx="180360" cy="192741"/>
              <a:chOff x="11281209" y="762003"/>
              <a:chExt cx="192506" cy="203331"/>
            </a:xfrm>
            <a:solidFill>
              <a:schemeClr val="accent1">
                <a:lumMod val="20000"/>
                <a:lumOff val="80000"/>
              </a:schemeClr>
            </a:solidFill>
          </xdr:grpSpPr>
          <xdr:sp macro="" textlink="">
            <xdr:nvSpPr>
              <xdr:cNvPr id="2218" name="Button 170" hidden="1">
                <a:extLst>
                  <a:ext uri="{63B3BB69-23CF-44E3-9099-C40C66FF867C}">
                    <a14:compatExt spid="_x0000_s2218"/>
                  </a:ext>
                  <a:ext uri="{FF2B5EF4-FFF2-40B4-BE49-F238E27FC236}">
                    <a16:creationId xmlns:a16="http://schemas.microsoft.com/office/drawing/2014/main" id="{00000000-0008-0000-0000-0000AA080000}"/>
                  </a:ext>
                </a:extLst>
              </xdr:cNvPr>
              <xdr:cNvSpPr/>
            </xdr:nvSpPr>
            <xdr:spPr bwMode="auto">
              <a:xfrm>
                <a:off x="11281209" y="76200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20" name="Button 172" hidden="1">
                <a:extLst>
                  <a:ext uri="{63B3BB69-23CF-44E3-9099-C40C66FF867C}">
                    <a14:compatExt spid="_x0000_s2220"/>
                  </a:ext>
                  <a:ext uri="{FF2B5EF4-FFF2-40B4-BE49-F238E27FC236}">
                    <a16:creationId xmlns:a16="http://schemas.microsoft.com/office/drawing/2014/main" id="{00000000-0008-0000-0000-0000AC08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12032</xdr:colOff>
          <xdr:row>6</xdr:row>
          <xdr:rowOff>4011</xdr:rowOff>
        </xdr:from>
        <xdr:to>
          <xdr:col>25</xdr:col>
          <xdr:colOff>12032</xdr:colOff>
          <xdr:row>7</xdr:row>
          <xdr:rowOff>4762</xdr:rowOff>
        </xdr:to>
        <xdr:grpSp>
          <xdr:nvGrpSpPr>
            <xdr:cNvPr id="12" name="Group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GrpSpPr/>
          </xdr:nvGrpSpPr>
          <xdr:grpSpPr>
            <a:xfrm>
              <a:off x="11016208" y="1375611"/>
              <a:ext cx="180710" cy="193492"/>
              <a:chOff x="11281209" y="761993"/>
              <a:chExt cx="192506" cy="203335"/>
            </a:xfrm>
          </xdr:grpSpPr>
          <xdr:sp macro="" textlink="">
            <xdr:nvSpPr>
              <xdr:cNvPr id="2223" name="Button 175" hidden="1">
                <a:extLst>
                  <a:ext uri="{63B3BB69-23CF-44E3-9099-C40C66FF867C}">
                    <a14:compatExt spid="_x0000_s2223"/>
                  </a:ext>
                  <a:ext uri="{FF2B5EF4-FFF2-40B4-BE49-F238E27FC236}">
                    <a16:creationId xmlns:a16="http://schemas.microsoft.com/office/drawing/2014/main" id="{00000000-0008-0000-0000-0000AF08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24" name="Button 176" hidden="1">
                <a:extLst>
                  <a:ext uri="{63B3BB69-23CF-44E3-9099-C40C66FF867C}">
                    <a14:compatExt spid="_x0000_s2224"/>
                  </a:ext>
                  <a:ext uri="{FF2B5EF4-FFF2-40B4-BE49-F238E27FC236}">
                    <a16:creationId xmlns:a16="http://schemas.microsoft.com/office/drawing/2014/main" id="{00000000-0008-0000-0000-0000B0080000}"/>
                  </a:ext>
                </a:extLst>
              </xdr:cNvPr>
              <xdr:cNvSpPr/>
            </xdr:nvSpPr>
            <xdr:spPr bwMode="auto">
              <a:xfrm>
                <a:off x="11281209" y="866268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</xdr:colOff>
          <xdr:row>7</xdr:row>
          <xdr:rowOff>9525</xdr:rowOff>
        </xdr:from>
        <xdr:to>
          <xdr:col>25</xdr:col>
          <xdr:colOff>12382</xdr:colOff>
          <xdr:row>8</xdr:row>
          <xdr:rowOff>0</xdr:rowOff>
        </xdr:to>
        <xdr:grpSp>
          <xdr:nvGrpSpPr>
            <xdr:cNvPr id="15" name="Group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GrpSpPr/>
          </xdr:nvGrpSpPr>
          <xdr:grpSpPr>
            <a:xfrm>
              <a:off x="11016558" y="1573866"/>
              <a:ext cx="180360" cy="183216"/>
              <a:chOff x="11281209" y="761995"/>
              <a:chExt cx="192506" cy="203340"/>
            </a:xfrm>
          </xdr:grpSpPr>
          <xdr:sp macro="" textlink="">
            <xdr:nvSpPr>
              <xdr:cNvPr id="2225" name="Button 177" hidden="1">
                <a:extLst>
                  <a:ext uri="{63B3BB69-23CF-44E3-9099-C40C66FF867C}">
                    <a14:compatExt spid="_x0000_s2225"/>
                  </a:ext>
                  <a:ext uri="{FF2B5EF4-FFF2-40B4-BE49-F238E27FC236}">
                    <a16:creationId xmlns:a16="http://schemas.microsoft.com/office/drawing/2014/main" id="{00000000-0008-0000-0000-0000B1080000}"/>
                  </a:ext>
                </a:extLst>
              </xdr:cNvPr>
              <xdr:cNvSpPr/>
            </xdr:nvSpPr>
            <xdr:spPr bwMode="auto">
              <a:xfrm>
                <a:off x="11281209" y="761995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26" name="Button 178" hidden="1">
                <a:extLst>
                  <a:ext uri="{63B3BB69-23CF-44E3-9099-C40C66FF867C}">
                    <a14:compatExt spid="_x0000_s2226"/>
                  </a:ext>
                  <a:ext uri="{FF2B5EF4-FFF2-40B4-BE49-F238E27FC236}">
                    <a16:creationId xmlns:a16="http://schemas.microsoft.com/office/drawing/2014/main" id="{00000000-0008-0000-0000-0000B2080000}"/>
                  </a:ext>
                </a:extLst>
              </xdr:cNvPr>
              <xdr:cNvSpPr/>
            </xdr:nvSpPr>
            <xdr:spPr bwMode="auto">
              <a:xfrm>
                <a:off x="11281209" y="866275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</xdr:colOff>
          <xdr:row>8</xdr:row>
          <xdr:rowOff>4764</xdr:rowOff>
        </xdr:from>
        <xdr:to>
          <xdr:col>25</xdr:col>
          <xdr:colOff>7620</xdr:colOff>
          <xdr:row>8</xdr:row>
          <xdr:rowOff>200026</xdr:rowOff>
        </xdr:to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GrpSpPr/>
          </xdr:nvGrpSpPr>
          <xdr:grpSpPr>
            <a:xfrm>
              <a:off x="11011796" y="1761846"/>
              <a:ext cx="185122" cy="187642"/>
              <a:chOff x="11281209" y="762005"/>
              <a:chExt cx="192506" cy="203328"/>
            </a:xfrm>
          </xdr:grpSpPr>
          <xdr:sp macro="" textlink="">
            <xdr:nvSpPr>
              <xdr:cNvPr id="2227" name="Button 179" hidden="1">
                <a:extLst>
                  <a:ext uri="{63B3BB69-23CF-44E3-9099-C40C66FF867C}">
                    <a14:compatExt spid="_x0000_s2227"/>
                  </a:ext>
                  <a:ext uri="{FF2B5EF4-FFF2-40B4-BE49-F238E27FC236}">
                    <a16:creationId xmlns:a16="http://schemas.microsoft.com/office/drawing/2014/main" id="{00000000-0008-0000-0000-0000B3080000}"/>
                  </a:ext>
                </a:extLst>
              </xdr:cNvPr>
              <xdr:cNvSpPr/>
            </xdr:nvSpPr>
            <xdr:spPr bwMode="auto">
              <a:xfrm>
                <a:off x="11281209" y="762005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28" name="Button 180" hidden="1">
                <a:extLst>
                  <a:ext uri="{63B3BB69-23CF-44E3-9099-C40C66FF867C}">
                    <a14:compatExt spid="_x0000_s2228"/>
                  </a:ext>
                  <a:ext uri="{FF2B5EF4-FFF2-40B4-BE49-F238E27FC236}">
                    <a16:creationId xmlns:a16="http://schemas.microsoft.com/office/drawing/2014/main" id="{00000000-0008-0000-0000-0000B4080000}"/>
                  </a:ext>
                </a:extLst>
              </xdr:cNvPr>
              <xdr:cNvSpPr/>
            </xdr:nvSpPr>
            <xdr:spPr bwMode="auto">
              <a:xfrm>
                <a:off x="11281209" y="86627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7621</xdr:colOff>
          <xdr:row>9</xdr:row>
          <xdr:rowOff>6</xdr:rowOff>
        </xdr:from>
        <xdr:to>
          <xdr:col>25</xdr:col>
          <xdr:colOff>7621</xdr:colOff>
          <xdr:row>9</xdr:row>
          <xdr:rowOff>195268</xdr:rowOff>
        </xdr:to>
        <xdr:grpSp>
          <xdr:nvGrpSpPr>
            <xdr:cNvPr id="21" name="Group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GrpSpPr/>
          </xdr:nvGrpSpPr>
          <xdr:grpSpPr>
            <a:xfrm>
              <a:off x="11011797" y="1949830"/>
              <a:ext cx="185121" cy="195262"/>
              <a:chOff x="11281209" y="762005"/>
              <a:chExt cx="192506" cy="203328"/>
            </a:xfrm>
          </xdr:grpSpPr>
          <xdr:sp macro="" textlink="">
            <xdr:nvSpPr>
              <xdr:cNvPr id="2229" name="Button 181" hidden="1">
                <a:extLst>
                  <a:ext uri="{63B3BB69-23CF-44E3-9099-C40C66FF867C}">
                    <a14:compatExt spid="_x0000_s2229"/>
                  </a:ext>
                  <a:ext uri="{FF2B5EF4-FFF2-40B4-BE49-F238E27FC236}">
                    <a16:creationId xmlns:a16="http://schemas.microsoft.com/office/drawing/2014/main" id="{00000000-0008-0000-0000-0000B5080000}"/>
                  </a:ext>
                </a:extLst>
              </xdr:cNvPr>
              <xdr:cNvSpPr/>
            </xdr:nvSpPr>
            <xdr:spPr bwMode="auto">
              <a:xfrm>
                <a:off x="11281209" y="762005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30" name="Button 182" hidden="1">
                <a:extLst>
                  <a:ext uri="{63B3BB69-23CF-44E3-9099-C40C66FF867C}">
                    <a14:compatExt spid="_x0000_s2230"/>
                  </a:ext>
                  <a:ext uri="{FF2B5EF4-FFF2-40B4-BE49-F238E27FC236}">
                    <a16:creationId xmlns:a16="http://schemas.microsoft.com/office/drawing/2014/main" id="{00000000-0008-0000-0000-0000B6080000}"/>
                  </a:ext>
                </a:extLst>
              </xdr:cNvPr>
              <xdr:cNvSpPr/>
            </xdr:nvSpPr>
            <xdr:spPr bwMode="auto">
              <a:xfrm>
                <a:off x="11281209" y="86627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12</xdr:row>
          <xdr:rowOff>0</xdr:rowOff>
        </xdr:from>
        <xdr:to>
          <xdr:col>25</xdr:col>
          <xdr:colOff>0</xdr:colOff>
          <xdr:row>12</xdr:row>
          <xdr:rowOff>204787</xdr:rowOff>
        </xdr:to>
        <xdr:grpSp>
          <xdr:nvGrpSpPr>
            <xdr:cNvPr id="27" name="Group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GrpSpPr/>
          </xdr:nvGrpSpPr>
          <xdr:grpSpPr>
            <a:xfrm>
              <a:off x="11004176" y="2371165"/>
              <a:ext cx="192742" cy="193357"/>
              <a:chOff x="11281209" y="761993"/>
              <a:chExt cx="192506" cy="203338"/>
            </a:xfrm>
          </xdr:grpSpPr>
          <xdr:sp macro="" textlink="">
            <xdr:nvSpPr>
              <xdr:cNvPr id="2233" name="Button 185" hidden="1">
                <a:extLst>
                  <a:ext uri="{63B3BB69-23CF-44E3-9099-C40C66FF867C}">
                    <a14:compatExt spid="_x0000_s2233"/>
                  </a:ext>
                  <a:ext uri="{FF2B5EF4-FFF2-40B4-BE49-F238E27FC236}">
                    <a16:creationId xmlns:a16="http://schemas.microsoft.com/office/drawing/2014/main" id="{00000000-0008-0000-0000-0000B908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34" name="Button 186" hidden="1">
                <a:extLst>
                  <a:ext uri="{63B3BB69-23CF-44E3-9099-C40C66FF867C}">
                    <a14:compatExt spid="_x0000_s2234"/>
                  </a:ext>
                  <a:ext uri="{FF2B5EF4-FFF2-40B4-BE49-F238E27FC236}">
                    <a16:creationId xmlns:a16="http://schemas.microsoft.com/office/drawing/2014/main" id="{00000000-0008-0000-0000-0000BA08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25</xdr:col>
          <xdr:colOff>0</xdr:colOff>
          <xdr:row>14</xdr:row>
          <xdr:rowOff>0</xdr:rowOff>
        </xdr:to>
        <xdr:grpSp>
          <xdr:nvGrpSpPr>
            <xdr:cNvPr id="33" name="Group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GrpSpPr/>
          </xdr:nvGrpSpPr>
          <xdr:grpSpPr>
            <a:xfrm>
              <a:off x="11004176" y="2563906"/>
              <a:ext cx="192742" cy="192741"/>
              <a:chOff x="11281209" y="762003"/>
              <a:chExt cx="192506" cy="203331"/>
            </a:xfrm>
          </xdr:grpSpPr>
          <xdr:sp macro="" textlink="">
            <xdr:nvSpPr>
              <xdr:cNvPr id="2237" name="Button 189" hidden="1">
                <a:extLst>
                  <a:ext uri="{63B3BB69-23CF-44E3-9099-C40C66FF867C}">
                    <a14:compatExt spid="_x0000_s2237"/>
                  </a:ext>
                  <a:ext uri="{FF2B5EF4-FFF2-40B4-BE49-F238E27FC236}">
                    <a16:creationId xmlns:a16="http://schemas.microsoft.com/office/drawing/2014/main" id="{00000000-0008-0000-0000-0000BD080000}"/>
                  </a:ext>
                </a:extLst>
              </xdr:cNvPr>
              <xdr:cNvSpPr/>
            </xdr:nvSpPr>
            <xdr:spPr bwMode="auto">
              <a:xfrm>
                <a:off x="11281209" y="76200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38" name="Button 190" hidden="1">
                <a:extLst>
                  <a:ext uri="{63B3BB69-23CF-44E3-9099-C40C66FF867C}">
                    <a14:compatExt spid="_x0000_s2238"/>
                  </a:ext>
                  <a:ext uri="{FF2B5EF4-FFF2-40B4-BE49-F238E27FC236}">
                    <a16:creationId xmlns:a16="http://schemas.microsoft.com/office/drawing/2014/main" id="{00000000-0008-0000-0000-0000BE08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14</xdr:row>
          <xdr:rowOff>0</xdr:rowOff>
        </xdr:from>
        <xdr:to>
          <xdr:col>25</xdr:col>
          <xdr:colOff>0</xdr:colOff>
          <xdr:row>14</xdr:row>
          <xdr:rowOff>204787</xdr:rowOff>
        </xdr:to>
        <xdr:grpSp>
          <xdr:nvGrpSpPr>
            <xdr:cNvPr id="39" name="Group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GrpSpPr/>
          </xdr:nvGrpSpPr>
          <xdr:grpSpPr>
            <a:xfrm>
              <a:off x="11004176" y="2756647"/>
              <a:ext cx="192742" cy="193357"/>
              <a:chOff x="11281209" y="761993"/>
              <a:chExt cx="192506" cy="203338"/>
            </a:xfrm>
          </xdr:grpSpPr>
          <xdr:sp macro="" textlink="">
            <xdr:nvSpPr>
              <xdr:cNvPr id="2241" name="Button 193" hidden="1">
                <a:extLst>
                  <a:ext uri="{63B3BB69-23CF-44E3-9099-C40C66FF867C}">
                    <a14:compatExt spid="_x0000_s2241"/>
                  </a:ext>
                  <a:ext uri="{FF2B5EF4-FFF2-40B4-BE49-F238E27FC236}">
                    <a16:creationId xmlns:a16="http://schemas.microsoft.com/office/drawing/2014/main" id="{00000000-0008-0000-0000-0000C108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42" name="Button 194" hidden="1">
                <a:extLst>
                  <a:ext uri="{63B3BB69-23CF-44E3-9099-C40C66FF867C}">
                    <a14:compatExt spid="_x0000_s2242"/>
                  </a:ext>
                  <a:ext uri="{FF2B5EF4-FFF2-40B4-BE49-F238E27FC236}">
                    <a16:creationId xmlns:a16="http://schemas.microsoft.com/office/drawing/2014/main" id="{00000000-0008-0000-0000-0000C208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0</xdr:rowOff>
        </xdr:from>
        <xdr:to>
          <xdr:col>25</xdr:col>
          <xdr:colOff>0</xdr:colOff>
          <xdr:row>16</xdr:row>
          <xdr:rowOff>0</xdr:rowOff>
        </xdr:to>
        <xdr:grpSp>
          <xdr:nvGrpSpPr>
            <xdr:cNvPr id="55" name="Group 54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GrpSpPr/>
          </xdr:nvGrpSpPr>
          <xdr:grpSpPr>
            <a:xfrm>
              <a:off x="11004176" y="2949388"/>
              <a:ext cx="192742" cy="192741"/>
              <a:chOff x="11281209" y="761995"/>
              <a:chExt cx="192506" cy="203334"/>
            </a:xfrm>
          </xdr:grpSpPr>
          <xdr:sp macro="" textlink="">
            <xdr:nvSpPr>
              <xdr:cNvPr id="2251" name="Button 203" hidden="1">
                <a:extLst>
                  <a:ext uri="{63B3BB69-23CF-44E3-9099-C40C66FF867C}">
                    <a14:compatExt spid="_x0000_s2251"/>
                  </a:ext>
                  <a:ext uri="{FF2B5EF4-FFF2-40B4-BE49-F238E27FC236}">
                    <a16:creationId xmlns:a16="http://schemas.microsoft.com/office/drawing/2014/main" id="{00000000-0008-0000-0000-0000CB080000}"/>
                  </a:ext>
                </a:extLst>
              </xdr:cNvPr>
              <xdr:cNvSpPr/>
            </xdr:nvSpPr>
            <xdr:spPr bwMode="auto">
              <a:xfrm>
                <a:off x="11281209" y="761995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52" name="Button 204" hidden="1">
                <a:extLst>
                  <a:ext uri="{63B3BB69-23CF-44E3-9099-C40C66FF867C}">
                    <a14:compatExt spid="_x0000_s2252"/>
                  </a:ext>
                  <a:ext uri="{FF2B5EF4-FFF2-40B4-BE49-F238E27FC236}">
                    <a16:creationId xmlns:a16="http://schemas.microsoft.com/office/drawing/2014/main" id="{00000000-0008-0000-0000-0000CC080000}"/>
                  </a:ext>
                </a:extLst>
              </xdr:cNvPr>
              <xdr:cNvSpPr/>
            </xdr:nvSpPr>
            <xdr:spPr bwMode="auto">
              <a:xfrm>
                <a:off x="11281209" y="86626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16</xdr:row>
          <xdr:rowOff>0</xdr:rowOff>
        </xdr:from>
        <xdr:to>
          <xdr:col>25</xdr:col>
          <xdr:colOff>0</xdr:colOff>
          <xdr:row>16</xdr:row>
          <xdr:rowOff>204787</xdr:rowOff>
        </xdr:to>
        <xdr:grpSp>
          <xdr:nvGrpSpPr>
            <xdr:cNvPr id="58" name="Group 57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GrpSpPr/>
          </xdr:nvGrpSpPr>
          <xdr:grpSpPr>
            <a:xfrm>
              <a:off x="11004176" y="3142129"/>
              <a:ext cx="192742" cy="193357"/>
              <a:chOff x="11281209" y="761993"/>
              <a:chExt cx="192506" cy="203338"/>
            </a:xfrm>
          </xdr:grpSpPr>
          <xdr:sp macro="" textlink="">
            <xdr:nvSpPr>
              <xdr:cNvPr id="2253" name="Button 205" hidden="1">
                <a:extLst>
                  <a:ext uri="{63B3BB69-23CF-44E3-9099-C40C66FF867C}">
                    <a14:compatExt spid="_x0000_s2253"/>
                  </a:ext>
                  <a:ext uri="{FF2B5EF4-FFF2-40B4-BE49-F238E27FC236}">
                    <a16:creationId xmlns:a16="http://schemas.microsoft.com/office/drawing/2014/main" id="{00000000-0008-0000-0000-0000CD08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54" name="Button 206" hidden="1">
                <a:extLst>
                  <a:ext uri="{63B3BB69-23CF-44E3-9099-C40C66FF867C}">
                    <a14:compatExt spid="_x0000_s2254"/>
                  </a:ext>
                  <a:ext uri="{FF2B5EF4-FFF2-40B4-BE49-F238E27FC236}">
                    <a16:creationId xmlns:a16="http://schemas.microsoft.com/office/drawing/2014/main" id="{00000000-0008-0000-0000-0000CE08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17</xdr:row>
          <xdr:rowOff>0</xdr:rowOff>
        </xdr:from>
        <xdr:to>
          <xdr:col>25</xdr:col>
          <xdr:colOff>0</xdr:colOff>
          <xdr:row>18</xdr:row>
          <xdr:rowOff>0</xdr:rowOff>
        </xdr:to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GrpSpPr/>
          </xdr:nvGrpSpPr>
          <xdr:grpSpPr>
            <a:xfrm>
              <a:off x="11004176" y="3334871"/>
              <a:ext cx="192742" cy="192741"/>
              <a:chOff x="11281209" y="762003"/>
              <a:chExt cx="192506" cy="203331"/>
            </a:xfrm>
          </xdr:grpSpPr>
          <xdr:sp macro="" textlink="">
            <xdr:nvSpPr>
              <xdr:cNvPr id="2255" name="Button 207" hidden="1">
                <a:extLst>
                  <a:ext uri="{63B3BB69-23CF-44E3-9099-C40C66FF867C}">
                    <a14:compatExt spid="_x0000_s2255"/>
                  </a:ext>
                  <a:ext uri="{FF2B5EF4-FFF2-40B4-BE49-F238E27FC236}">
                    <a16:creationId xmlns:a16="http://schemas.microsoft.com/office/drawing/2014/main" id="{00000000-0008-0000-0000-0000CF080000}"/>
                  </a:ext>
                </a:extLst>
              </xdr:cNvPr>
              <xdr:cNvSpPr/>
            </xdr:nvSpPr>
            <xdr:spPr bwMode="auto">
              <a:xfrm>
                <a:off x="11281209" y="76200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56" name="Button 208" hidden="1">
                <a:extLst>
                  <a:ext uri="{63B3BB69-23CF-44E3-9099-C40C66FF867C}">
                    <a14:compatExt spid="_x0000_s2256"/>
                  </a:ext>
                  <a:ext uri="{FF2B5EF4-FFF2-40B4-BE49-F238E27FC236}">
                    <a16:creationId xmlns:a16="http://schemas.microsoft.com/office/drawing/2014/main" id="{00000000-0008-0000-0000-0000D008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18</xdr:row>
          <xdr:rowOff>0</xdr:rowOff>
        </xdr:from>
        <xdr:to>
          <xdr:col>25</xdr:col>
          <xdr:colOff>0</xdr:colOff>
          <xdr:row>18</xdr:row>
          <xdr:rowOff>204787</xdr:rowOff>
        </xdr:to>
        <xdr:grpSp>
          <xdr:nvGrpSpPr>
            <xdr:cNvPr id="67" name="Group 66">
              <a:extLst>
                <a:ext uri="{FF2B5EF4-FFF2-40B4-BE49-F238E27FC236}">
                  <a16:creationId xmlns:a16="http://schemas.microsoft.com/office/drawing/2014/main" id="{00000000-0008-0000-0000-000043000000}"/>
                </a:ext>
              </a:extLst>
            </xdr:cNvPr>
            <xdr:cNvGrpSpPr/>
          </xdr:nvGrpSpPr>
          <xdr:grpSpPr>
            <a:xfrm>
              <a:off x="11004176" y="3527612"/>
              <a:ext cx="192742" cy="193357"/>
              <a:chOff x="11281209" y="761993"/>
              <a:chExt cx="192506" cy="203338"/>
            </a:xfrm>
          </xdr:grpSpPr>
          <xdr:sp macro="" textlink="">
            <xdr:nvSpPr>
              <xdr:cNvPr id="2259" name="Button 211" hidden="1">
                <a:extLst>
                  <a:ext uri="{63B3BB69-23CF-44E3-9099-C40C66FF867C}">
                    <a14:compatExt spid="_x0000_s2259"/>
                  </a:ext>
                  <a:ext uri="{FF2B5EF4-FFF2-40B4-BE49-F238E27FC236}">
                    <a16:creationId xmlns:a16="http://schemas.microsoft.com/office/drawing/2014/main" id="{00000000-0008-0000-0000-0000D308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60" name="Button 212" hidden="1">
                <a:extLst>
                  <a:ext uri="{63B3BB69-23CF-44E3-9099-C40C66FF867C}">
                    <a14:compatExt spid="_x0000_s2260"/>
                  </a:ext>
                  <a:ext uri="{FF2B5EF4-FFF2-40B4-BE49-F238E27FC236}">
                    <a16:creationId xmlns:a16="http://schemas.microsoft.com/office/drawing/2014/main" id="{00000000-0008-0000-0000-0000D408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21</xdr:row>
          <xdr:rowOff>0</xdr:rowOff>
        </xdr:from>
        <xdr:to>
          <xdr:col>25</xdr:col>
          <xdr:colOff>0</xdr:colOff>
          <xdr:row>22</xdr:row>
          <xdr:rowOff>0</xdr:rowOff>
        </xdr:to>
        <xdr:grpSp>
          <xdr:nvGrpSpPr>
            <xdr:cNvPr id="70" name="Group 69">
              <a:extLst>
                <a:ext uri="{FF2B5EF4-FFF2-40B4-BE49-F238E27FC236}">
                  <a16:creationId xmlns:a16="http://schemas.microsoft.com/office/drawing/2014/main" id="{00000000-0008-0000-0000-000046000000}"/>
                </a:ext>
              </a:extLst>
            </xdr:cNvPr>
            <xdr:cNvGrpSpPr/>
          </xdr:nvGrpSpPr>
          <xdr:grpSpPr>
            <a:xfrm>
              <a:off x="11004176" y="3948953"/>
              <a:ext cx="192742" cy="192741"/>
              <a:chOff x="11281209" y="762003"/>
              <a:chExt cx="192506" cy="203331"/>
            </a:xfrm>
          </xdr:grpSpPr>
          <xdr:sp macro="" textlink="">
            <xdr:nvSpPr>
              <xdr:cNvPr id="2261" name="Button 213" hidden="1">
                <a:extLst>
                  <a:ext uri="{63B3BB69-23CF-44E3-9099-C40C66FF867C}">
                    <a14:compatExt spid="_x0000_s2261"/>
                  </a:ext>
                  <a:ext uri="{FF2B5EF4-FFF2-40B4-BE49-F238E27FC236}">
                    <a16:creationId xmlns:a16="http://schemas.microsoft.com/office/drawing/2014/main" id="{00000000-0008-0000-0000-0000D5080000}"/>
                  </a:ext>
                </a:extLst>
              </xdr:cNvPr>
              <xdr:cNvSpPr/>
            </xdr:nvSpPr>
            <xdr:spPr bwMode="auto">
              <a:xfrm>
                <a:off x="11281209" y="76200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62" name="Button 214" hidden="1">
                <a:extLst>
                  <a:ext uri="{63B3BB69-23CF-44E3-9099-C40C66FF867C}">
                    <a14:compatExt spid="_x0000_s2262"/>
                  </a:ext>
                  <a:ext uri="{FF2B5EF4-FFF2-40B4-BE49-F238E27FC236}">
                    <a16:creationId xmlns:a16="http://schemas.microsoft.com/office/drawing/2014/main" id="{00000000-0008-0000-0000-0000D608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22</xdr:row>
          <xdr:rowOff>0</xdr:rowOff>
        </xdr:from>
        <xdr:to>
          <xdr:col>25</xdr:col>
          <xdr:colOff>0</xdr:colOff>
          <xdr:row>22</xdr:row>
          <xdr:rowOff>204787</xdr:rowOff>
        </xdr:to>
        <xdr:grpSp>
          <xdr:nvGrpSpPr>
            <xdr:cNvPr id="76" name="Group 75">
              <a:extLst>
                <a:ext uri="{FF2B5EF4-FFF2-40B4-BE49-F238E27FC236}">
                  <a16:creationId xmlns:a16="http://schemas.microsoft.com/office/drawing/2014/main" id="{00000000-0008-0000-0000-00004C000000}"/>
                </a:ext>
              </a:extLst>
            </xdr:cNvPr>
            <xdr:cNvGrpSpPr/>
          </xdr:nvGrpSpPr>
          <xdr:grpSpPr>
            <a:xfrm>
              <a:off x="11004176" y="4141694"/>
              <a:ext cx="192742" cy="193357"/>
              <a:chOff x="11281209" y="761993"/>
              <a:chExt cx="192506" cy="203338"/>
            </a:xfrm>
          </xdr:grpSpPr>
          <xdr:sp macro="" textlink="">
            <xdr:nvSpPr>
              <xdr:cNvPr id="2265" name="Button 217" hidden="1">
                <a:extLst>
                  <a:ext uri="{63B3BB69-23CF-44E3-9099-C40C66FF867C}">
                    <a14:compatExt spid="_x0000_s2265"/>
                  </a:ext>
                  <a:ext uri="{FF2B5EF4-FFF2-40B4-BE49-F238E27FC236}">
                    <a16:creationId xmlns:a16="http://schemas.microsoft.com/office/drawing/2014/main" id="{00000000-0008-0000-0000-0000D908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66" name="Button 218" hidden="1">
                <a:extLst>
                  <a:ext uri="{63B3BB69-23CF-44E3-9099-C40C66FF867C}">
                    <a14:compatExt spid="_x0000_s2266"/>
                  </a:ext>
                  <a:ext uri="{FF2B5EF4-FFF2-40B4-BE49-F238E27FC236}">
                    <a16:creationId xmlns:a16="http://schemas.microsoft.com/office/drawing/2014/main" id="{00000000-0008-0000-0000-0000DA08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23</xdr:row>
          <xdr:rowOff>0</xdr:rowOff>
        </xdr:from>
        <xdr:to>
          <xdr:col>25</xdr:col>
          <xdr:colOff>0</xdr:colOff>
          <xdr:row>24</xdr:row>
          <xdr:rowOff>0</xdr:rowOff>
        </xdr:to>
        <xdr:grpSp>
          <xdr:nvGrpSpPr>
            <xdr:cNvPr id="82" name="Group 81">
              <a:extLst>
                <a:ext uri="{FF2B5EF4-FFF2-40B4-BE49-F238E27FC236}">
                  <a16:creationId xmlns:a16="http://schemas.microsoft.com/office/drawing/2014/main" id="{00000000-0008-0000-0000-000052000000}"/>
                </a:ext>
              </a:extLst>
            </xdr:cNvPr>
            <xdr:cNvGrpSpPr/>
          </xdr:nvGrpSpPr>
          <xdr:grpSpPr>
            <a:xfrm>
              <a:off x="11004176" y="4334435"/>
              <a:ext cx="192742" cy="192741"/>
              <a:chOff x="11281209" y="761995"/>
              <a:chExt cx="192506" cy="203334"/>
            </a:xfrm>
          </xdr:grpSpPr>
          <xdr:sp macro="" textlink="">
            <xdr:nvSpPr>
              <xdr:cNvPr id="2269" name="Button 221" hidden="1">
                <a:extLst>
                  <a:ext uri="{63B3BB69-23CF-44E3-9099-C40C66FF867C}">
                    <a14:compatExt spid="_x0000_s2269"/>
                  </a:ext>
                  <a:ext uri="{FF2B5EF4-FFF2-40B4-BE49-F238E27FC236}">
                    <a16:creationId xmlns:a16="http://schemas.microsoft.com/office/drawing/2014/main" id="{00000000-0008-0000-0000-0000DD080000}"/>
                  </a:ext>
                </a:extLst>
              </xdr:cNvPr>
              <xdr:cNvSpPr/>
            </xdr:nvSpPr>
            <xdr:spPr bwMode="auto">
              <a:xfrm>
                <a:off x="11281209" y="761995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70" name="Button 222" hidden="1">
                <a:extLst>
                  <a:ext uri="{63B3BB69-23CF-44E3-9099-C40C66FF867C}">
                    <a14:compatExt spid="_x0000_s2270"/>
                  </a:ext>
                  <a:ext uri="{FF2B5EF4-FFF2-40B4-BE49-F238E27FC236}">
                    <a16:creationId xmlns:a16="http://schemas.microsoft.com/office/drawing/2014/main" id="{00000000-0008-0000-0000-0000DE080000}"/>
                  </a:ext>
                </a:extLst>
              </xdr:cNvPr>
              <xdr:cNvSpPr/>
            </xdr:nvSpPr>
            <xdr:spPr bwMode="auto">
              <a:xfrm>
                <a:off x="11281209" y="86626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24</xdr:row>
          <xdr:rowOff>0</xdr:rowOff>
        </xdr:from>
        <xdr:to>
          <xdr:col>25</xdr:col>
          <xdr:colOff>0</xdr:colOff>
          <xdr:row>24</xdr:row>
          <xdr:rowOff>204787</xdr:rowOff>
        </xdr:to>
        <xdr:grpSp>
          <xdr:nvGrpSpPr>
            <xdr:cNvPr id="88" name="Group 87"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GrpSpPr/>
          </xdr:nvGrpSpPr>
          <xdr:grpSpPr>
            <a:xfrm>
              <a:off x="11004176" y="4527176"/>
              <a:ext cx="192742" cy="193357"/>
              <a:chOff x="11281209" y="761993"/>
              <a:chExt cx="192506" cy="203338"/>
            </a:xfrm>
          </xdr:grpSpPr>
          <xdr:sp macro="" textlink="">
            <xdr:nvSpPr>
              <xdr:cNvPr id="2273" name="Button 225" hidden="1">
                <a:extLst>
                  <a:ext uri="{63B3BB69-23CF-44E3-9099-C40C66FF867C}">
                    <a14:compatExt spid="_x0000_s2273"/>
                  </a:ext>
                  <a:ext uri="{FF2B5EF4-FFF2-40B4-BE49-F238E27FC236}">
                    <a16:creationId xmlns:a16="http://schemas.microsoft.com/office/drawing/2014/main" id="{00000000-0008-0000-0000-0000E108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74" name="Button 226" hidden="1">
                <a:extLst>
                  <a:ext uri="{63B3BB69-23CF-44E3-9099-C40C66FF867C}">
                    <a14:compatExt spid="_x0000_s2274"/>
                  </a:ext>
                  <a:ext uri="{FF2B5EF4-FFF2-40B4-BE49-F238E27FC236}">
                    <a16:creationId xmlns:a16="http://schemas.microsoft.com/office/drawing/2014/main" id="{00000000-0008-0000-0000-0000E208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25</xdr:row>
          <xdr:rowOff>0</xdr:rowOff>
        </xdr:from>
        <xdr:to>
          <xdr:col>25</xdr:col>
          <xdr:colOff>0</xdr:colOff>
          <xdr:row>26</xdr:row>
          <xdr:rowOff>0</xdr:rowOff>
        </xdr:to>
        <xdr:grpSp>
          <xdr:nvGrpSpPr>
            <xdr:cNvPr id="94" name="Group 93">
              <a:extLst>
                <a:ext uri="{FF2B5EF4-FFF2-40B4-BE49-F238E27FC236}">
                  <a16:creationId xmlns:a16="http://schemas.microsoft.com/office/drawing/2014/main" id="{00000000-0008-0000-0000-00005E000000}"/>
                </a:ext>
              </a:extLst>
            </xdr:cNvPr>
            <xdr:cNvGrpSpPr/>
          </xdr:nvGrpSpPr>
          <xdr:grpSpPr>
            <a:xfrm>
              <a:off x="11004176" y="4719918"/>
              <a:ext cx="192742" cy="192741"/>
              <a:chOff x="11281209" y="762003"/>
              <a:chExt cx="192506" cy="203331"/>
            </a:xfrm>
          </xdr:grpSpPr>
          <xdr:sp macro="" textlink="">
            <xdr:nvSpPr>
              <xdr:cNvPr id="2277" name="Button 229" hidden="1">
                <a:extLst>
                  <a:ext uri="{63B3BB69-23CF-44E3-9099-C40C66FF867C}">
                    <a14:compatExt spid="_x0000_s2277"/>
                  </a:ext>
                  <a:ext uri="{FF2B5EF4-FFF2-40B4-BE49-F238E27FC236}">
                    <a16:creationId xmlns:a16="http://schemas.microsoft.com/office/drawing/2014/main" id="{00000000-0008-0000-0000-0000E5080000}"/>
                  </a:ext>
                </a:extLst>
              </xdr:cNvPr>
              <xdr:cNvSpPr/>
            </xdr:nvSpPr>
            <xdr:spPr bwMode="auto">
              <a:xfrm>
                <a:off x="11281209" y="76200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78" name="Button 230" hidden="1">
                <a:extLst>
                  <a:ext uri="{63B3BB69-23CF-44E3-9099-C40C66FF867C}">
                    <a14:compatExt spid="_x0000_s2278"/>
                  </a:ext>
                  <a:ext uri="{FF2B5EF4-FFF2-40B4-BE49-F238E27FC236}">
                    <a16:creationId xmlns:a16="http://schemas.microsoft.com/office/drawing/2014/main" id="{00000000-0008-0000-0000-0000E608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28</xdr:row>
          <xdr:rowOff>0</xdr:rowOff>
        </xdr:from>
        <xdr:to>
          <xdr:col>25</xdr:col>
          <xdr:colOff>0</xdr:colOff>
          <xdr:row>28</xdr:row>
          <xdr:rowOff>204787</xdr:rowOff>
        </xdr:to>
        <xdr:grpSp>
          <xdr:nvGrpSpPr>
            <xdr:cNvPr id="97" name="Group 96">
              <a:extLst>
                <a:ext uri="{FF2B5EF4-FFF2-40B4-BE49-F238E27FC236}">
                  <a16:creationId xmlns:a16="http://schemas.microsoft.com/office/drawing/2014/main" id="{00000000-0008-0000-0000-000061000000}"/>
                </a:ext>
              </a:extLst>
            </xdr:cNvPr>
            <xdr:cNvGrpSpPr/>
          </xdr:nvGrpSpPr>
          <xdr:grpSpPr>
            <a:xfrm>
              <a:off x="11004176" y="5141259"/>
              <a:ext cx="192742" cy="193357"/>
              <a:chOff x="11281209" y="761993"/>
              <a:chExt cx="192506" cy="203338"/>
            </a:xfrm>
          </xdr:grpSpPr>
          <xdr:sp macro="" textlink="">
            <xdr:nvSpPr>
              <xdr:cNvPr id="2279" name="Button 231" hidden="1">
                <a:extLst>
                  <a:ext uri="{63B3BB69-23CF-44E3-9099-C40C66FF867C}">
                    <a14:compatExt spid="_x0000_s2279"/>
                  </a:ext>
                  <a:ext uri="{FF2B5EF4-FFF2-40B4-BE49-F238E27FC236}">
                    <a16:creationId xmlns:a16="http://schemas.microsoft.com/office/drawing/2014/main" id="{00000000-0008-0000-0000-0000E708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80" name="Button 232" hidden="1">
                <a:extLst>
                  <a:ext uri="{63B3BB69-23CF-44E3-9099-C40C66FF867C}">
                    <a14:compatExt spid="_x0000_s2280"/>
                  </a:ext>
                  <a:ext uri="{FF2B5EF4-FFF2-40B4-BE49-F238E27FC236}">
                    <a16:creationId xmlns:a16="http://schemas.microsoft.com/office/drawing/2014/main" id="{00000000-0008-0000-0000-0000E808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29</xdr:row>
          <xdr:rowOff>0</xdr:rowOff>
        </xdr:from>
        <xdr:to>
          <xdr:col>25</xdr:col>
          <xdr:colOff>0</xdr:colOff>
          <xdr:row>30</xdr:row>
          <xdr:rowOff>0</xdr:rowOff>
        </xdr:to>
        <xdr:grpSp>
          <xdr:nvGrpSpPr>
            <xdr:cNvPr id="106" name="Group 105">
              <a:extLst>
                <a:ext uri="{FF2B5EF4-FFF2-40B4-BE49-F238E27FC236}">
                  <a16:creationId xmlns:a16="http://schemas.microsoft.com/office/drawing/2014/main" id="{00000000-0008-0000-0000-00006A000000}"/>
                </a:ext>
              </a:extLst>
            </xdr:cNvPr>
            <xdr:cNvGrpSpPr/>
          </xdr:nvGrpSpPr>
          <xdr:grpSpPr>
            <a:xfrm>
              <a:off x="11004176" y="5334000"/>
              <a:ext cx="192742" cy="192741"/>
              <a:chOff x="11281209" y="762009"/>
              <a:chExt cx="192506" cy="203319"/>
            </a:xfrm>
          </xdr:grpSpPr>
          <xdr:sp macro="" textlink="">
            <xdr:nvSpPr>
              <xdr:cNvPr id="2285" name="Button 237" hidden="1">
                <a:extLst>
                  <a:ext uri="{63B3BB69-23CF-44E3-9099-C40C66FF867C}">
                    <a14:compatExt spid="_x0000_s2285"/>
                  </a:ext>
                  <a:ext uri="{FF2B5EF4-FFF2-40B4-BE49-F238E27FC236}">
                    <a16:creationId xmlns:a16="http://schemas.microsoft.com/office/drawing/2014/main" id="{00000000-0008-0000-0000-0000ED080000}"/>
                  </a:ext>
                </a:extLst>
              </xdr:cNvPr>
              <xdr:cNvSpPr/>
            </xdr:nvSpPr>
            <xdr:spPr bwMode="auto">
              <a:xfrm>
                <a:off x="11281209" y="76200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86" name="Button 238" hidden="1">
                <a:extLst>
                  <a:ext uri="{63B3BB69-23CF-44E3-9099-C40C66FF867C}">
                    <a14:compatExt spid="_x0000_s2286"/>
                  </a:ext>
                  <a:ext uri="{FF2B5EF4-FFF2-40B4-BE49-F238E27FC236}">
                    <a16:creationId xmlns:a16="http://schemas.microsoft.com/office/drawing/2014/main" id="{00000000-0008-0000-0000-0000EE080000}"/>
                  </a:ext>
                </a:extLst>
              </xdr:cNvPr>
              <xdr:cNvSpPr/>
            </xdr:nvSpPr>
            <xdr:spPr bwMode="auto">
              <a:xfrm>
                <a:off x="11281209" y="866268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30</xdr:row>
          <xdr:rowOff>0</xdr:rowOff>
        </xdr:from>
        <xdr:to>
          <xdr:col>25</xdr:col>
          <xdr:colOff>0</xdr:colOff>
          <xdr:row>30</xdr:row>
          <xdr:rowOff>204787</xdr:rowOff>
        </xdr:to>
        <xdr:grpSp>
          <xdr:nvGrpSpPr>
            <xdr:cNvPr id="112" name="Group 111">
              <a:extLst>
                <a:ext uri="{FF2B5EF4-FFF2-40B4-BE49-F238E27FC236}">
                  <a16:creationId xmlns:a16="http://schemas.microsoft.com/office/drawing/2014/main" id="{00000000-0008-0000-0000-000070000000}"/>
                </a:ext>
              </a:extLst>
            </xdr:cNvPr>
            <xdr:cNvGrpSpPr/>
          </xdr:nvGrpSpPr>
          <xdr:grpSpPr>
            <a:xfrm>
              <a:off x="11004176" y="5526741"/>
              <a:ext cx="192742" cy="193357"/>
              <a:chOff x="11281209" y="761993"/>
              <a:chExt cx="192506" cy="203338"/>
            </a:xfrm>
          </xdr:grpSpPr>
          <xdr:sp macro="" textlink="">
            <xdr:nvSpPr>
              <xdr:cNvPr id="2289" name="Button 241" hidden="1">
                <a:extLst>
                  <a:ext uri="{63B3BB69-23CF-44E3-9099-C40C66FF867C}">
                    <a14:compatExt spid="_x0000_s2289"/>
                  </a:ext>
                  <a:ext uri="{FF2B5EF4-FFF2-40B4-BE49-F238E27FC236}">
                    <a16:creationId xmlns:a16="http://schemas.microsoft.com/office/drawing/2014/main" id="{00000000-0008-0000-0000-0000F108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90" name="Button 242" hidden="1">
                <a:extLst>
                  <a:ext uri="{63B3BB69-23CF-44E3-9099-C40C66FF867C}">
                    <a14:compatExt spid="_x0000_s2290"/>
                  </a:ext>
                  <a:ext uri="{FF2B5EF4-FFF2-40B4-BE49-F238E27FC236}">
                    <a16:creationId xmlns:a16="http://schemas.microsoft.com/office/drawing/2014/main" id="{00000000-0008-0000-0000-0000F208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31</xdr:row>
          <xdr:rowOff>0</xdr:rowOff>
        </xdr:from>
        <xdr:to>
          <xdr:col>25</xdr:col>
          <xdr:colOff>0</xdr:colOff>
          <xdr:row>32</xdr:row>
          <xdr:rowOff>0</xdr:rowOff>
        </xdr:to>
        <xdr:grpSp>
          <xdr:nvGrpSpPr>
            <xdr:cNvPr id="115" name="Group 114">
              <a:extLst>
                <a:ext uri="{FF2B5EF4-FFF2-40B4-BE49-F238E27FC236}">
                  <a16:creationId xmlns:a16="http://schemas.microsoft.com/office/drawing/2014/main" id="{00000000-0008-0000-0000-000073000000}"/>
                </a:ext>
              </a:extLst>
            </xdr:cNvPr>
            <xdr:cNvGrpSpPr/>
          </xdr:nvGrpSpPr>
          <xdr:grpSpPr>
            <a:xfrm>
              <a:off x="11004176" y="5719482"/>
              <a:ext cx="192742" cy="192742"/>
              <a:chOff x="11281209" y="762009"/>
              <a:chExt cx="192506" cy="203319"/>
            </a:xfrm>
          </xdr:grpSpPr>
          <xdr:sp macro="" textlink="">
            <xdr:nvSpPr>
              <xdr:cNvPr id="2291" name="Button 243" hidden="1">
                <a:extLst>
                  <a:ext uri="{63B3BB69-23CF-44E3-9099-C40C66FF867C}">
                    <a14:compatExt spid="_x0000_s2291"/>
                  </a:ext>
                  <a:ext uri="{FF2B5EF4-FFF2-40B4-BE49-F238E27FC236}">
                    <a16:creationId xmlns:a16="http://schemas.microsoft.com/office/drawing/2014/main" id="{00000000-0008-0000-0000-0000F3080000}"/>
                  </a:ext>
                </a:extLst>
              </xdr:cNvPr>
              <xdr:cNvSpPr/>
            </xdr:nvSpPr>
            <xdr:spPr bwMode="auto">
              <a:xfrm>
                <a:off x="11281209" y="76200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92" name="Button 244" hidden="1">
                <a:extLst>
                  <a:ext uri="{63B3BB69-23CF-44E3-9099-C40C66FF867C}">
                    <a14:compatExt spid="_x0000_s2292"/>
                  </a:ext>
                  <a:ext uri="{FF2B5EF4-FFF2-40B4-BE49-F238E27FC236}">
                    <a16:creationId xmlns:a16="http://schemas.microsoft.com/office/drawing/2014/main" id="{00000000-0008-0000-0000-0000F4080000}"/>
                  </a:ext>
                </a:extLst>
              </xdr:cNvPr>
              <xdr:cNvSpPr/>
            </xdr:nvSpPr>
            <xdr:spPr bwMode="auto">
              <a:xfrm>
                <a:off x="11281209" y="866268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32</xdr:row>
          <xdr:rowOff>0</xdr:rowOff>
        </xdr:from>
        <xdr:to>
          <xdr:col>25</xdr:col>
          <xdr:colOff>0</xdr:colOff>
          <xdr:row>32</xdr:row>
          <xdr:rowOff>204787</xdr:rowOff>
        </xdr:to>
        <xdr:grpSp>
          <xdr:nvGrpSpPr>
            <xdr:cNvPr id="118" name="Group 117">
              <a:extLst>
                <a:ext uri="{FF2B5EF4-FFF2-40B4-BE49-F238E27FC236}">
                  <a16:creationId xmlns:a16="http://schemas.microsoft.com/office/drawing/2014/main" id="{00000000-0008-0000-0000-000076000000}"/>
                </a:ext>
              </a:extLst>
            </xdr:cNvPr>
            <xdr:cNvGrpSpPr/>
          </xdr:nvGrpSpPr>
          <xdr:grpSpPr>
            <a:xfrm>
              <a:off x="11004176" y="5912224"/>
              <a:ext cx="192742" cy="193357"/>
              <a:chOff x="11281209" y="761993"/>
              <a:chExt cx="192506" cy="203338"/>
            </a:xfrm>
          </xdr:grpSpPr>
          <xdr:sp macro="" textlink="">
            <xdr:nvSpPr>
              <xdr:cNvPr id="2293" name="Button 245" hidden="1">
                <a:extLst>
                  <a:ext uri="{63B3BB69-23CF-44E3-9099-C40C66FF867C}">
                    <a14:compatExt spid="_x0000_s2293"/>
                  </a:ext>
                  <a:ext uri="{FF2B5EF4-FFF2-40B4-BE49-F238E27FC236}">
                    <a16:creationId xmlns:a16="http://schemas.microsoft.com/office/drawing/2014/main" id="{00000000-0008-0000-0000-0000F508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94" name="Button 246" hidden="1">
                <a:extLst>
                  <a:ext uri="{63B3BB69-23CF-44E3-9099-C40C66FF867C}">
                    <a14:compatExt spid="_x0000_s2294"/>
                  </a:ext>
                  <a:ext uri="{FF2B5EF4-FFF2-40B4-BE49-F238E27FC236}">
                    <a16:creationId xmlns:a16="http://schemas.microsoft.com/office/drawing/2014/main" id="{00000000-0008-0000-0000-0000F608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33</xdr:row>
          <xdr:rowOff>0</xdr:rowOff>
        </xdr:from>
        <xdr:to>
          <xdr:col>25</xdr:col>
          <xdr:colOff>0</xdr:colOff>
          <xdr:row>34</xdr:row>
          <xdr:rowOff>0</xdr:rowOff>
        </xdr:to>
        <xdr:grpSp>
          <xdr:nvGrpSpPr>
            <xdr:cNvPr id="121" name="Group 120">
              <a:extLst>
                <a:ext uri="{FF2B5EF4-FFF2-40B4-BE49-F238E27FC236}">
                  <a16:creationId xmlns:a16="http://schemas.microsoft.com/office/drawing/2014/main" id="{00000000-0008-0000-0000-000079000000}"/>
                </a:ext>
              </a:extLst>
            </xdr:cNvPr>
            <xdr:cNvGrpSpPr/>
          </xdr:nvGrpSpPr>
          <xdr:grpSpPr>
            <a:xfrm>
              <a:off x="11004176" y="6104965"/>
              <a:ext cx="192742" cy="192741"/>
              <a:chOff x="11281209" y="762009"/>
              <a:chExt cx="192506" cy="203319"/>
            </a:xfrm>
          </xdr:grpSpPr>
          <xdr:sp macro="" textlink="">
            <xdr:nvSpPr>
              <xdr:cNvPr id="2295" name="Button 247" hidden="1">
                <a:extLst>
                  <a:ext uri="{63B3BB69-23CF-44E3-9099-C40C66FF867C}">
                    <a14:compatExt spid="_x0000_s2295"/>
                  </a:ext>
                  <a:ext uri="{FF2B5EF4-FFF2-40B4-BE49-F238E27FC236}">
                    <a16:creationId xmlns:a16="http://schemas.microsoft.com/office/drawing/2014/main" id="{00000000-0008-0000-0000-0000F7080000}"/>
                  </a:ext>
                </a:extLst>
              </xdr:cNvPr>
              <xdr:cNvSpPr/>
            </xdr:nvSpPr>
            <xdr:spPr bwMode="auto">
              <a:xfrm>
                <a:off x="11281209" y="76200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96" name="Button 248" hidden="1">
                <a:extLst>
                  <a:ext uri="{63B3BB69-23CF-44E3-9099-C40C66FF867C}">
                    <a14:compatExt spid="_x0000_s2296"/>
                  </a:ext>
                  <a:ext uri="{FF2B5EF4-FFF2-40B4-BE49-F238E27FC236}">
                    <a16:creationId xmlns:a16="http://schemas.microsoft.com/office/drawing/2014/main" id="{00000000-0008-0000-0000-0000F8080000}"/>
                  </a:ext>
                </a:extLst>
              </xdr:cNvPr>
              <xdr:cNvSpPr/>
            </xdr:nvSpPr>
            <xdr:spPr bwMode="auto">
              <a:xfrm>
                <a:off x="11281209" y="866268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34</xdr:row>
          <xdr:rowOff>0</xdr:rowOff>
        </xdr:from>
        <xdr:to>
          <xdr:col>25</xdr:col>
          <xdr:colOff>0</xdr:colOff>
          <xdr:row>34</xdr:row>
          <xdr:rowOff>204787</xdr:rowOff>
        </xdr:to>
        <xdr:grpSp>
          <xdr:nvGrpSpPr>
            <xdr:cNvPr id="124" name="Group 123">
              <a:extLst>
                <a:ext uri="{FF2B5EF4-FFF2-40B4-BE49-F238E27FC236}">
                  <a16:creationId xmlns:a16="http://schemas.microsoft.com/office/drawing/2014/main" id="{00000000-0008-0000-0000-00007C000000}"/>
                </a:ext>
              </a:extLst>
            </xdr:cNvPr>
            <xdr:cNvGrpSpPr/>
          </xdr:nvGrpSpPr>
          <xdr:grpSpPr>
            <a:xfrm>
              <a:off x="11004176" y="6297706"/>
              <a:ext cx="192742" cy="193357"/>
              <a:chOff x="11281209" y="761993"/>
              <a:chExt cx="192506" cy="203338"/>
            </a:xfrm>
          </xdr:grpSpPr>
          <xdr:sp macro="" textlink="">
            <xdr:nvSpPr>
              <xdr:cNvPr id="2297" name="Button 249" hidden="1">
                <a:extLst>
                  <a:ext uri="{63B3BB69-23CF-44E3-9099-C40C66FF867C}">
                    <a14:compatExt spid="_x0000_s2297"/>
                  </a:ext>
                  <a:ext uri="{FF2B5EF4-FFF2-40B4-BE49-F238E27FC236}">
                    <a16:creationId xmlns:a16="http://schemas.microsoft.com/office/drawing/2014/main" id="{00000000-0008-0000-0000-0000F908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98" name="Button 250" hidden="1">
                <a:extLst>
                  <a:ext uri="{63B3BB69-23CF-44E3-9099-C40C66FF867C}">
                    <a14:compatExt spid="_x0000_s2298"/>
                  </a:ext>
                  <a:ext uri="{FF2B5EF4-FFF2-40B4-BE49-F238E27FC236}">
                    <a16:creationId xmlns:a16="http://schemas.microsoft.com/office/drawing/2014/main" id="{00000000-0008-0000-0000-0000FA08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35</xdr:row>
          <xdr:rowOff>0</xdr:rowOff>
        </xdr:from>
        <xdr:to>
          <xdr:col>25</xdr:col>
          <xdr:colOff>0</xdr:colOff>
          <xdr:row>36</xdr:row>
          <xdr:rowOff>0</xdr:rowOff>
        </xdr:to>
        <xdr:grpSp>
          <xdr:nvGrpSpPr>
            <xdr:cNvPr id="130" name="Group 129">
              <a:extLst>
                <a:ext uri="{FF2B5EF4-FFF2-40B4-BE49-F238E27FC236}">
                  <a16:creationId xmlns:a16="http://schemas.microsoft.com/office/drawing/2014/main" id="{00000000-0008-0000-0000-000082000000}"/>
                </a:ext>
              </a:extLst>
            </xdr:cNvPr>
            <xdr:cNvGrpSpPr/>
          </xdr:nvGrpSpPr>
          <xdr:grpSpPr>
            <a:xfrm>
              <a:off x="11004176" y="6490447"/>
              <a:ext cx="192742" cy="192741"/>
              <a:chOff x="11281209" y="761995"/>
              <a:chExt cx="192506" cy="203334"/>
            </a:xfrm>
          </xdr:grpSpPr>
          <xdr:sp macro="" textlink="">
            <xdr:nvSpPr>
              <xdr:cNvPr id="2301" name="Button 253" hidden="1">
                <a:extLst>
                  <a:ext uri="{63B3BB69-23CF-44E3-9099-C40C66FF867C}">
                    <a14:compatExt spid="_x0000_s2301"/>
                  </a:ext>
                  <a:ext uri="{FF2B5EF4-FFF2-40B4-BE49-F238E27FC236}">
                    <a16:creationId xmlns:a16="http://schemas.microsoft.com/office/drawing/2014/main" id="{00000000-0008-0000-0000-0000FD080000}"/>
                  </a:ext>
                </a:extLst>
              </xdr:cNvPr>
              <xdr:cNvSpPr/>
            </xdr:nvSpPr>
            <xdr:spPr bwMode="auto">
              <a:xfrm>
                <a:off x="11281209" y="761995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02" name="Button 254" hidden="1">
                <a:extLst>
                  <a:ext uri="{63B3BB69-23CF-44E3-9099-C40C66FF867C}">
                    <a14:compatExt spid="_x0000_s2302"/>
                  </a:ext>
                  <a:ext uri="{FF2B5EF4-FFF2-40B4-BE49-F238E27FC236}">
                    <a16:creationId xmlns:a16="http://schemas.microsoft.com/office/drawing/2014/main" id="{00000000-0008-0000-0000-0000FE080000}"/>
                  </a:ext>
                </a:extLst>
              </xdr:cNvPr>
              <xdr:cNvSpPr/>
            </xdr:nvSpPr>
            <xdr:spPr bwMode="auto">
              <a:xfrm>
                <a:off x="11281209" y="86626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38</xdr:row>
          <xdr:rowOff>0</xdr:rowOff>
        </xdr:from>
        <xdr:to>
          <xdr:col>25</xdr:col>
          <xdr:colOff>0</xdr:colOff>
          <xdr:row>38</xdr:row>
          <xdr:rowOff>204787</xdr:rowOff>
        </xdr:to>
        <xdr:grpSp>
          <xdr:nvGrpSpPr>
            <xdr:cNvPr id="136" name="Group 135">
              <a:extLst>
                <a:ext uri="{FF2B5EF4-FFF2-40B4-BE49-F238E27FC236}">
                  <a16:creationId xmlns:a16="http://schemas.microsoft.com/office/drawing/2014/main" id="{00000000-0008-0000-0000-000088000000}"/>
                </a:ext>
              </a:extLst>
            </xdr:cNvPr>
            <xdr:cNvGrpSpPr/>
          </xdr:nvGrpSpPr>
          <xdr:grpSpPr>
            <a:xfrm>
              <a:off x="11004176" y="6911788"/>
              <a:ext cx="192742" cy="193357"/>
              <a:chOff x="11281209" y="761993"/>
              <a:chExt cx="192506" cy="203338"/>
            </a:xfrm>
          </xdr:grpSpPr>
          <xdr:sp macro="" textlink="">
            <xdr:nvSpPr>
              <xdr:cNvPr id="2305" name="Button 257" hidden="1">
                <a:extLst>
                  <a:ext uri="{63B3BB69-23CF-44E3-9099-C40C66FF867C}">
                    <a14:compatExt spid="_x0000_s2305"/>
                  </a:ext>
                  <a:ext uri="{FF2B5EF4-FFF2-40B4-BE49-F238E27FC236}">
                    <a16:creationId xmlns:a16="http://schemas.microsoft.com/office/drawing/2014/main" id="{00000000-0008-0000-0000-00000109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06" name="Button 258" hidden="1">
                <a:extLst>
                  <a:ext uri="{63B3BB69-23CF-44E3-9099-C40C66FF867C}">
                    <a14:compatExt spid="_x0000_s2306"/>
                  </a:ext>
                  <a:ext uri="{FF2B5EF4-FFF2-40B4-BE49-F238E27FC236}">
                    <a16:creationId xmlns:a16="http://schemas.microsoft.com/office/drawing/2014/main" id="{00000000-0008-0000-0000-00000209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39</xdr:row>
          <xdr:rowOff>0</xdr:rowOff>
        </xdr:from>
        <xdr:to>
          <xdr:col>25</xdr:col>
          <xdr:colOff>0</xdr:colOff>
          <xdr:row>40</xdr:row>
          <xdr:rowOff>0</xdr:rowOff>
        </xdr:to>
        <xdr:grpSp>
          <xdr:nvGrpSpPr>
            <xdr:cNvPr id="142" name="Group 141">
              <a:extLst>
                <a:ext uri="{FF2B5EF4-FFF2-40B4-BE49-F238E27FC236}">
                  <a16:creationId xmlns:a16="http://schemas.microsoft.com/office/drawing/2014/main" id="{00000000-0008-0000-0000-00008E000000}"/>
                </a:ext>
              </a:extLst>
            </xdr:cNvPr>
            <xdr:cNvGrpSpPr/>
          </xdr:nvGrpSpPr>
          <xdr:grpSpPr>
            <a:xfrm>
              <a:off x="11004176" y="7104529"/>
              <a:ext cx="192742" cy="192742"/>
              <a:chOff x="11281209" y="762009"/>
              <a:chExt cx="192506" cy="203319"/>
            </a:xfrm>
          </xdr:grpSpPr>
          <xdr:sp macro="" textlink="">
            <xdr:nvSpPr>
              <xdr:cNvPr id="2309" name="Button 261" hidden="1">
                <a:extLst>
                  <a:ext uri="{63B3BB69-23CF-44E3-9099-C40C66FF867C}">
                    <a14:compatExt spid="_x0000_s2309"/>
                  </a:ext>
                  <a:ext uri="{FF2B5EF4-FFF2-40B4-BE49-F238E27FC236}">
                    <a16:creationId xmlns:a16="http://schemas.microsoft.com/office/drawing/2014/main" id="{00000000-0008-0000-0000-000005090000}"/>
                  </a:ext>
                </a:extLst>
              </xdr:cNvPr>
              <xdr:cNvSpPr/>
            </xdr:nvSpPr>
            <xdr:spPr bwMode="auto">
              <a:xfrm>
                <a:off x="11281209" y="76200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10" name="Button 262" hidden="1">
                <a:extLst>
                  <a:ext uri="{63B3BB69-23CF-44E3-9099-C40C66FF867C}">
                    <a14:compatExt spid="_x0000_s2310"/>
                  </a:ext>
                  <a:ext uri="{FF2B5EF4-FFF2-40B4-BE49-F238E27FC236}">
                    <a16:creationId xmlns:a16="http://schemas.microsoft.com/office/drawing/2014/main" id="{00000000-0008-0000-0000-000006090000}"/>
                  </a:ext>
                </a:extLst>
              </xdr:cNvPr>
              <xdr:cNvSpPr/>
            </xdr:nvSpPr>
            <xdr:spPr bwMode="auto">
              <a:xfrm>
                <a:off x="11281209" y="866268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40</xdr:row>
          <xdr:rowOff>0</xdr:rowOff>
        </xdr:from>
        <xdr:to>
          <xdr:col>25</xdr:col>
          <xdr:colOff>0</xdr:colOff>
          <xdr:row>40</xdr:row>
          <xdr:rowOff>204787</xdr:rowOff>
        </xdr:to>
        <xdr:grpSp>
          <xdr:nvGrpSpPr>
            <xdr:cNvPr id="148" name="Group 147">
              <a:extLst>
                <a:ext uri="{FF2B5EF4-FFF2-40B4-BE49-F238E27FC236}">
                  <a16:creationId xmlns:a16="http://schemas.microsoft.com/office/drawing/2014/main" id="{00000000-0008-0000-0000-000094000000}"/>
                </a:ext>
              </a:extLst>
            </xdr:cNvPr>
            <xdr:cNvGrpSpPr/>
          </xdr:nvGrpSpPr>
          <xdr:grpSpPr>
            <a:xfrm>
              <a:off x="11004176" y="7297271"/>
              <a:ext cx="192742" cy="193357"/>
              <a:chOff x="11281209" y="761993"/>
              <a:chExt cx="192506" cy="203338"/>
            </a:xfrm>
          </xdr:grpSpPr>
          <xdr:sp macro="" textlink="">
            <xdr:nvSpPr>
              <xdr:cNvPr id="2313" name="Button 265" hidden="1">
                <a:extLst>
                  <a:ext uri="{63B3BB69-23CF-44E3-9099-C40C66FF867C}">
                    <a14:compatExt spid="_x0000_s2313"/>
                  </a:ext>
                  <a:ext uri="{FF2B5EF4-FFF2-40B4-BE49-F238E27FC236}">
                    <a16:creationId xmlns:a16="http://schemas.microsoft.com/office/drawing/2014/main" id="{00000000-0008-0000-0000-00000909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14" name="Button 266" hidden="1">
                <a:extLst>
                  <a:ext uri="{63B3BB69-23CF-44E3-9099-C40C66FF867C}">
                    <a14:compatExt spid="_x0000_s2314"/>
                  </a:ext>
                  <a:ext uri="{FF2B5EF4-FFF2-40B4-BE49-F238E27FC236}">
                    <a16:creationId xmlns:a16="http://schemas.microsoft.com/office/drawing/2014/main" id="{00000000-0008-0000-0000-00000A09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41</xdr:row>
          <xdr:rowOff>0</xdr:rowOff>
        </xdr:from>
        <xdr:to>
          <xdr:col>25</xdr:col>
          <xdr:colOff>0</xdr:colOff>
          <xdr:row>42</xdr:row>
          <xdr:rowOff>0</xdr:rowOff>
        </xdr:to>
        <xdr:grpSp>
          <xdr:nvGrpSpPr>
            <xdr:cNvPr id="151" name="Group 150">
              <a:extLst>
                <a:ext uri="{FF2B5EF4-FFF2-40B4-BE49-F238E27FC236}">
                  <a16:creationId xmlns:a16="http://schemas.microsoft.com/office/drawing/2014/main" id="{00000000-0008-0000-0000-000097000000}"/>
                </a:ext>
              </a:extLst>
            </xdr:cNvPr>
            <xdr:cNvGrpSpPr/>
          </xdr:nvGrpSpPr>
          <xdr:grpSpPr>
            <a:xfrm>
              <a:off x="11004176" y="7490012"/>
              <a:ext cx="192742" cy="192741"/>
              <a:chOff x="11281209" y="762009"/>
              <a:chExt cx="192506" cy="203319"/>
            </a:xfrm>
          </xdr:grpSpPr>
          <xdr:sp macro="" textlink="">
            <xdr:nvSpPr>
              <xdr:cNvPr id="2315" name="Button 267" hidden="1">
                <a:extLst>
                  <a:ext uri="{63B3BB69-23CF-44E3-9099-C40C66FF867C}">
                    <a14:compatExt spid="_x0000_s2315"/>
                  </a:ext>
                  <a:ext uri="{FF2B5EF4-FFF2-40B4-BE49-F238E27FC236}">
                    <a16:creationId xmlns:a16="http://schemas.microsoft.com/office/drawing/2014/main" id="{00000000-0008-0000-0000-00000B090000}"/>
                  </a:ext>
                </a:extLst>
              </xdr:cNvPr>
              <xdr:cNvSpPr/>
            </xdr:nvSpPr>
            <xdr:spPr bwMode="auto">
              <a:xfrm>
                <a:off x="11281209" y="76200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16" name="Button 268" hidden="1">
                <a:extLst>
                  <a:ext uri="{63B3BB69-23CF-44E3-9099-C40C66FF867C}">
                    <a14:compatExt spid="_x0000_s2316"/>
                  </a:ext>
                  <a:ext uri="{FF2B5EF4-FFF2-40B4-BE49-F238E27FC236}">
                    <a16:creationId xmlns:a16="http://schemas.microsoft.com/office/drawing/2014/main" id="{00000000-0008-0000-0000-00000C090000}"/>
                  </a:ext>
                </a:extLst>
              </xdr:cNvPr>
              <xdr:cNvSpPr/>
            </xdr:nvSpPr>
            <xdr:spPr bwMode="auto">
              <a:xfrm>
                <a:off x="11281209" y="866268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42</xdr:row>
          <xdr:rowOff>0</xdr:rowOff>
        </xdr:from>
        <xdr:to>
          <xdr:col>25</xdr:col>
          <xdr:colOff>0</xdr:colOff>
          <xdr:row>42</xdr:row>
          <xdr:rowOff>204787</xdr:rowOff>
        </xdr:to>
        <xdr:grpSp>
          <xdr:nvGrpSpPr>
            <xdr:cNvPr id="154" name="Group 153">
              <a:extLst>
                <a:ext uri="{FF2B5EF4-FFF2-40B4-BE49-F238E27FC236}">
                  <a16:creationId xmlns:a16="http://schemas.microsoft.com/office/drawing/2014/main" id="{00000000-0008-0000-0000-00009A000000}"/>
                </a:ext>
              </a:extLst>
            </xdr:cNvPr>
            <xdr:cNvGrpSpPr/>
          </xdr:nvGrpSpPr>
          <xdr:grpSpPr>
            <a:xfrm>
              <a:off x="11004176" y="7682753"/>
              <a:ext cx="192742" cy="193357"/>
              <a:chOff x="11281209" y="761993"/>
              <a:chExt cx="192506" cy="203338"/>
            </a:xfrm>
          </xdr:grpSpPr>
          <xdr:sp macro="" textlink="">
            <xdr:nvSpPr>
              <xdr:cNvPr id="2317" name="Button 269" hidden="1">
                <a:extLst>
                  <a:ext uri="{63B3BB69-23CF-44E3-9099-C40C66FF867C}">
                    <a14:compatExt spid="_x0000_s2317"/>
                  </a:ext>
                  <a:ext uri="{FF2B5EF4-FFF2-40B4-BE49-F238E27FC236}">
                    <a16:creationId xmlns:a16="http://schemas.microsoft.com/office/drawing/2014/main" id="{00000000-0008-0000-0000-00000D09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18" name="Button 270" hidden="1">
                <a:extLst>
                  <a:ext uri="{63B3BB69-23CF-44E3-9099-C40C66FF867C}">
                    <a14:compatExt spid="_x0000_s2318"/>
                  </a:ext>
                  <a:ext uri="{FF2B5EF4-FFF2-40B4-BE49-F238E27FC236}">
                    <a16:creationId xmlns:a16="http://schemas.microsoft.com/office/drawing/2014/main" id="{00000000-0008-0000-0000-00000E09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43</xdr:row>
          <xdr:rowOff>0</xdr:rowOff>
        </xdr:from>
        <xdr:to>
          <xdr:col>25</xdr:col>
          <xdr:colOff>0</xdr:colOff>
          <xdr:row>44</xdr:row>
          <xdr:rowOff>0</xdr:rowOff>
        </xdr:to>
        <xdr:grpSp>
          <xdr:nvGrpSpPr>
            <xdr:cNvPr id="157" name="Group 156">
              <a:extLst>
                <a:ext uri="{FF2B5EF4-FFF2-40B4-BE49-F238E27FC236}">
                  <a16:creationId xmlns:a16="http://schemas.microsoft.com/office/drawing/2014/main" id="{00000000-0008-0000-0000-00009D000000}"/>
                </a:ext>
              </a:extLst>
            </xdr:cNvPr>
            <xdr:cNvGrpSpPr/>
          </xdr:nvGrpSpPr>
          <xdr:grpSpPr>
            <a:xfrm>
              <a:off x="11004176" y="7875494"/>
              <a:ext cx="192742" cy="192741"/>
              <a:chOff x="11281209" y="762009"/>
              <a:chExt cx="192506" cy="203319"/>
            </a:xfrm>
          </xdr:grpSpPr>
          <xdr:sp macro="" textlink="">
            <xdr:nvSpPr>
              <xdr:cNvPr id="2319" name="Button 271" hidden="1">
                <a:extLst>
                  <a:ext uri="{63B3BB69-23CF-44E3-9099-C40C66FF867C}">
                    <a14:compatExt spid="_x0000_s2319"/>
                  </a:ext>
                  <a:ext uri="{FF2B5EF4-FFF2-40B4-BE49-F238E27FC236}">
                    <a16:creationId xmlns:a16="http://schemas.microsoft.com/office/drawing/2014/main" id="{00000000-0008-0000-0000-00000F090000}"/>
                  </a:ext>
                </a:extLst>
              </xdr:cNvPr>
              <xdr:cNvSpPr/>
            </xdr:nvSpPr>
            <xdr:spPr bwMode="auto">
              <a:xfrm>
                <a:off x="11281209" y="76200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20" name="Button 272" hidden="1">
                <a:extLst>
                  <a:ext uri="{63B3BB69-23CF-44E3-9099-C40C66FF867C}">
                    <a14:compatExt spid="_x0000_s2320"/>
                  </a:ext>
                  <a:ext uri="{FF2B5EF4-FFF2-40B4-BE49-F238E27FC236}">
                    <a16:creationId xmlns:a16="http://schemas.microsoft.com/office/drawing/2014/main" id="{00000000-0008-0000-0000-000010090000}"/>
                  </a:ext>
                </a:extLst>
              </xdr:cNvPr>
              <xdr:cNvSpPr/>
            </xdr:nvSpPr>
            <xdr:spPr bwMode="auto">
              <a:xfrm>
                <a:off x="11281209" y="866268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46</xdr:row>
          <xdr:rowOff>0</xdr:rowOff>
        </xdr:from>
        <xdr:to>
          <xdr:col>25</xdr:col>
          <xdr:colOff>0</xdr:colOff>
          <xdr:row>46</xdr:row>
          <xdr:rowOff>204787</xdr:rowOff>
        </xdr:to>
        <xdr:grpSp>
          <xdr:nvGrpSpPr>
            <xdr:cNvPr id="160" name="Group 159">
              <a:extLst>
                <a:ext uri="{FF2B5EF4-FFF2-40B4-BE49-F238E27FC236}">
                  <a16:creationId xmlns:a16="http://schemas.microsoft.com/office/drawing/2014/main" id="{00000000-0008-0000-0000-0000A0000000}"/>
                </a:ext>
              </a:extLst>
            </xdr:cNvPr>
            <xdr:cNvGrpSpPr/>
          </xdr:nvGrpSpPr>
          <xdr:grpSpPr>
            <a:xfrm>
              <a:off x="11004176" y="8296835"/>
              <a:ext cx="192742" cy="193357"/>
              <a:chOff x="11281209" y="761993"/>
              <a:chExt cx="192506" cy="203338"/>
            </a:xfrm>
          </xdr:grpSpPr>
          <xdr:sp macro="" textlink="">
            <xdr:nvSpPr>
              <xdr:cNvPr id="2321" name="Button 273" hidden="1">
                <a:extLst>
                  <a:ext uri="{63B3BB69-23CF-44E3-9099-C40C66FF867C}">
                    <a14:compatExt spid="_x0000_s2321"/>
                  </a:ext>
                  <a:ext uri="{FF2B5EF4-FFF2-40B4-BE49-F238E27FC236}">
                    <a16:creationId xmlns:a16="http://schemas.microsoft.com/office/drawing/2014/main" id="{00000000-0008-0000-0000-00001109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22" name="Button 274" hidden="1">
                <a:extLst>
                  <a:ext uri="{63B3BB69-23CF-44E3-9099-C40C66FF867C}">
                    <a14:compatExt spid="_x0000_s2322"/>
                  </a:ext>
                  <a:ext uri="{FF2B5EF4-FFF2-40B4-BE49-F238E27FC236}">
                    <a16:creationId xmlns:a16="http://schemas.microsoft.com/office/drawing/2014/main" id="{00000000-0008-0000-0000-00001209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47</xdr:row>
          <xdr:rowOff>0</xdr:rowOff>
        </xdr:from>
        <xdr:to>
          <xdr:col>25</xdr:col>
          <xdr:colOff>0</xdr:colOff>
          <xdr:row>48</xdr:row>
          <xdr:rowOff>0</xdr:rowOff>
        </xdr:to>
        <xdr:grpSp>
          <xdr:nvGrpSpPr>
            <xdr:cNvPr id="163" name="Group 162">
              <a:extLst>
                <a:ext uri="{FF2B5EF4-FFF2-40B4-BE49-F238E27FC236}">
                  <a16:creationId xmlns:a16="http://schemas.microsoft.com/office/drawing/2014/main" id="{00000000-0008-0000-0000-0000A3000000}"/>
                </a:ext>
              </a:extLst>
            </xdr:cNvPr>
            <xdr:cNvGrpSpPr/>
          </xdr:nvGrpSpPr>
          <xdr:grpSpPr>
            <a:xfrm>
              <a:off x="11004176" y="8489576"/>
              <a:ext cx="192742" cy="192742"/>
              <a:chOff x="11281209" y="762009"/>
              <a:chExt cx="192506" cy="203319"/>
            </a:xfrm>
          </xdr:grpSpPr>
          <xdr:sp macro="" textlink="">
            <xdr:nvSpPr>
              <xdr:cNvPr id="2323" name="Button 275" hidden="1">
                <a:extLst>
                  <a:ext uri="{63B3BB69-23CF-44E3-9099-C40C66FF867C}">
                    <a14:compatExt spid="_x0000_s2323"/>
                  </a:ext>
                  <a:ext uri="{FF2B5EF4-FFF2-40B4-BE49-F238E27FC236}">
                    <a16:creationId xmlns:a16="http://schemas.microsoft.com/office/drawing/2014/main" id="{00000000-0008-0000-0000-000013090000}"/>
                  </a:ext>
                </a:extLst>
              </xdr:cNvPr>
              <xdr:cNvSpPr/>
            </xdr:nvSpPr>
            <xdr:spPr bwMode="auto">
              <a:xfrm>
                <a:off x="11281209" y="76200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24" name="Button 276" hidden="1">
                <a:extLst>
                  <a:ext uri="{63B3BB69-23CF-44E3-9099-C40C66FF867C}">
                    <a14:compatExt spid="_x0000_s2324"/>
                  </a:ext>
                  <a:ext uri="{FF2B5EF4-FFF2-40B4-BE49-F238E27FC236}">
                    <a16:creationId xmlns:a16="http://schemas.microsoft.com/office/drawing/2014/main" id="{00000000-0008-0000-0000-000014090000}"/>
                  </a:ext>
                </a:extLst>
              </xdr:cNvPr>
              <xdr:cNvSpPr/>
            </xdr:nvSpPr>
            <xdr:spPr bwMode="auto">
              <a:xfrm>
                <a:off x="11281209" y="866268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48</xdr:row>
          <xdr:rowOff>0</xdr:rowOff>
        </xdr:from>
        <xdr:to>
          <xdr:col>25</xdr:col>
          <xdr:colOff>0</xdr:colOff>
          <xdr:row>48</xdr:row>
          <xdr:rowOff>204787</xdr:rowOff>
        </xdr:to>
        <xdr:grpSp>
          <xdr:nvGrpSpPr>
            <xdr:cNvPr id="169" name="Group 168">
              <a:extLst>
                <a:ext uri="{FF2B5EF4-FFF2-40B4-BE49-F238E27FC236}">
                  <a16:creationId xmlns:a16="http://schemas.microsoft.com/office/drawing/2014/main" id="{00000000-0008-0000-0000-0000A9000000}"/>
                </a:ext>
              </a:extLst>
            </xdr:cNvPr>
            <xdr:cNvGrpSpPr/>
          </xdr:nvGrpSpPr>
          <xdr:grpSpPr>
            <a:xfrm>
              <a:off x="11004176" y="8682318"/>
              <a:ext cx="192742" cy="193357"/>
              <a:chOff x="11281209" y="761993"/>
              <a:chExt cx="192506" cy="203338"/>
            </a:xfrm>
          </xdr:grpSpPr>
          <xdr:sp macro="" textlink="">
            <xdr:nvSpPr>
              <xdr:cNvPr id="2327" name="Button 279" hidden="1">
                <a:extLst>
                  <a:ext uri="{63B3BB69-23CF-44E3-9099-C40C66FF867C}">
                    <a14:compatExt spid="_x0000_s2327"/>
                  </a:ext>
                  <a:ext uri="{FF2B5EF4-FFF2-40B4-BE49-F238E27FC236}">
                    <a16:creationId xmlns:a16="http://schemas.microsoft.com/office/drawing/2014/main" id="{00000000-0008-0000-0000-00001709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28" name="Button 280" hidden="1">
                <a:extLst>
                  <a:ext uri="{63B3BB69-23CF-44E3-9099-C40C66FF867C}">
                    <a14:compatExt spid="_x0000_s2328"/>
                  </a:ext>
                  <a:ext uri="{FF2B5EF4-FFF2-40B4-BE49-F238E27FC236}">
                    <a16:creationId xmlns:a16="http://schemas.microsoft.com/office/drawing/2014/main" id="{00000000-0008-0000-0000-00001809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49</xdr:row>
          <xdr:rowOff>0</xdr:rowOff>
        </xdr:from>
        <xdr:to>
          <xdr:col>25</xdr:col>
          <xdr:colOff>0</xdr:colOff>
          <xdr:row>50</xdr:row>
          <xdr:rowOff>0</xdr:rowOff>
        </xdr:to>
        <xdr:grpSp>
          <xdr:nvGrpSpPr>
            <xdr:cNvPr id="172" name="Group 171">
              <a:extLst>
                <a:ext uri="{FF2B5EF4-FFF2-40B4-BE49-F238E27FC236}">
                  <a16:creationId xmlns:a16="http://schemas.microsoft.com/office/drawing/2014/main" id="{00000000-0008-0000-0000-0000AC000000}"/>
                </a:ext>
              </a:extLst>
            </xdr:cNvPr>
            <xdr:cNvGrpSpPr/>
          </xdr:nvGrpSpPr>
          <xdr:grpSpPr>
            <a:xfrm>
              <a:off x="11004176" y="8875059"/>
              <a:ext cx="192742" cy="192741"/>
              <a:chOff x="11281209" y="762009"/>
              <a:chExt cx="192506" cy="203319"/>
            </a:xfrm>
          </xdr:grpSpPr>
          <xdr:sp macro="" textlink="">
            <xdr:nvSpPr>
              <xdr:cNvPr id="2329" name="Button 281" hidden="1">
                <a:extLst>
                  <a:ext uri="{63B3BB69-23CF-44E3-9099-C40C66FF867C}">
                    <a14:compatExt spid="_x0000_s2329"/>
                  </a:ext>
                  <a:ext uri="{FF2B5EF4-FFF2-40B4-BE49-F238E27FC236}">
                    <a16:creationId xmlns:a16="http://schemas.microsoft.com/office/drawing/2014/main" id="{00000000-0008-0000-0000-000019090000}"/>
                  </a:ext>
                </a:extLst>
              </xdr:cNvPr>
              <xdr:cNvSpPr/>
            </xdr:nvSpPr>
            <xdr:spPr bwMode="auto">
              <a:xfrm>
                <a:off x="11281209" y="76200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30" name="Button 282" hidden="1">
                <a:extLst>
                  <a:ext uri="{63B3BB69-23CF-44E3-9099-C40C66FF867C}">
                    <a14:compatExt spid="_x0000_s2330"/>
                  </a:ext>
                  <a:ext uri="{FF2B5EF4-FFF2-40B4-BE49-F238E27FC236}">
                    <a16:creationId xmlns:a16="http://schemas.microsoft.com/office/drawing/2014/main" id="{00000000-0008-0000-0000-00001A090000}"/>
                  </a:ext>
                </a:extLst>
              </xdr:cNvPr>
              <xdr:cNvSpPr/>
            </xdr:nvSpPr>
            <xdr:spPr bwMode="auto">
              <a:xfrm>
                <a:off x="11281209" y="866268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50</xdr:row>
          <xdr:rowOff>0</xdr:rowOff>
        </xdr:from>
        <xdr:to>
          <xdr:col>25</xdr:col>
          <xdr:colOff>0</xdr:colOff>
          <xdr:row>50</xdr:row>
          <xdr:rowOff>204787</xdr:rowOff>
        </xdr:to>
        <xdr:grpSp>
          <xdr:nvGrpSpPr>
            <xdr:cNvPr id="175" name="Group 174">
              <a:extLst>
                <a:ext uri="{FF2B5EF4-FFF2-40B4-BE49-F238E27FC236}">
                  <a16:creationId xmlns:a16="http://schemas.microsoft.com/office/drawing/2014/main" id="{00000000-0008-0000-0000-0000AF000000}"/>
                </a:ext>
              </a:extLst>
            </xdr:cNvPr>
            <xdr:cNvGrpSpPr/>
          </xdr:nvGrpSpPr>
          <xdr:grpSpPr>
            <a:xfrm>
              <a:off x="11004176" y="9067800"/>
              <a:ext cx="192742" cy="193357"/>
              <a:chOff x="11281209" y="761993"/>
              <a:chExt cx="192506" cy="203338"/>
            </a:xfrm>
          </xdr:grpSpPr>
          <xdr:sp macro="" textlink="">
            <xdr:nvSpPr>
              <xdr:cNvPr id="2331" name="Button 283" hidden="1">
                <a:extLst>
                  <a:ext uri="{63B3BB69-23CF-44E3-9099-C40C66FF867C}">
                    <a14:compatExt spid="_x0000_s2331"/>
                  </a:ext>
                  <a:ext uri="{FF2B5EF4-FFF2-40B4-BE49-F238E27FC236}">
                    <a16:creationId xmlns:a16="http://schemas.microsoft.com/office/drawing/2014/main" id="{00000000-0008-0000-0000-00001B09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32" name="Button 284" hidden="1">
                <a:extLst>
                  <a:ext uri="{63B3BB69-23CF-44E3-9099-C40C66FF867C}">
                    <a14:compatExt spid="_x0000_s2332"/>
                  </a:ext>
                  <a:ext uri="{FF2B5EF4-FFF2-40B4-BE49-F238E27FC236}">
                    <a16:creationId xmlns:a16="http://schemas.microsoft.com/office/drawing/2014/main" id="{00000000-0008-0000-0000-00001C09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51</xdr:row>
          <xdr:rowOff>0</xdr:rowOff>
        </xdr:from>
        <xdr:to>
          <xdr:col>25</xdr:col>
          <xdr:colOff>0</xdr:colOff>
          <xdr:row>52</xdr:row>
          <xdr:rowOff>0</xdr:rowOff>
        </xdr:to>
        <xdr:grpSp>
          <xdr:nvGrpSpPr>
            <xdr:cNvPr id="181" name="Group 180">
              <a:extLst>
                <a:ext uri="{FF2B5EF4-FFF2-40B4-BE49-F238E27FC236}">
                  <a16:creationId xmlns:a16="http://schemas.microsoft.com/office/drawing/2014/main" id="{00000000-0008-0000-0000-0000B5000000}"/>
                </a:ext>
              </a:extLst>
            </xdr:cNvPr>
            <xdr:cNvGrpSpPr/>
          </xdr:nvGrpSpPr>
          <xdr:grpSpPr>
            <a:xfrm>
              <a:off x="11004176" y="9260541"/>
              <a:ext cx="192742" cy="192741"/>
              <a:chOff x="11281209" y="762009"/>
              <a:chExt cx="192506" cy="203319"/>
            </a:xfrm>
          </xdr:grpSpPr>
          <xdr:sp macro="" textlink="">
            <xdr:nvSpPr>
              <xdr:cNvPr id="2335" name="Button 287" hidden="1">
                <a:extLst>
                  <a:ext uri="{63B3BB69-23CF-44E3-9099-C40C66FF867C}">
                    <a14:compatExt spid="_x0000_s2335"/>
                  </a:ext>
                  <a:ext uri="{FF2B5EF4-FFF2-40B4-BE49-F238E27FC236}">
                    <a16:creationId xmlns:a16="http://schemas.microsoft.com/office/drawing/2014/main" id="{00000000-0008-0000-0000-00001F090000}"/>
                  </a:ext>
                </a:extLst>
              </xdr:cNvPr>
              <xdr:cNvSpPr/>
            </xdr:nvSpPr>
            <xdr:spPr bwMode="auto">
              <a:xfrm>
                <a:off x="11281209" y="76200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36" name="Button 288" hidden="1">
                <a:extLst>
                  <a:ext uri="{63B3BB69-23CF-44E3-9099-C40C66FF867C}">
                    <a14:compatExt spid="_x0000_s2336"/>
                  </a:ext>
                  <a:ext uri="{FF2B5EF4-FFF2-40B4-BE49-F238E27FC236}">
                    <a16:creationId xmlns:a16="http://schemas.microsoft.com/office/drawing/2014/main" id="{00000000-0008-0000-0000-000020090000}"/>
                  </a:ext>
                </a:extLst>
              </xdr:cNvPr>
              <xdr:cNvSpPr/>
            </xdr:nvSpPr>
            <xdr:spPr bwMode="auto">
              <a:xfrm>
                <a:off x="11281209" y="866268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54</xdr:row>
          <xdr:rowOff>0</xdr:rowOff>
        </xdr:from>
        <xdr:to>
          <xdr:col>25</xdr:col>
          <xdr:colOff>0</xdr:colOff>
          <xdr:row>54</xdr:row>
          <xdr:rowOff>204787</xdr:rowOff>
        </xdr:to>
        <xdr:grpSp>
          <xdr:nvGrpSpPr>
            <xdr:cNvPr id="187" name="Group 186">
              <a:extLst>
                <a:ext uri="{FF2B5EF4-FFF2-40B4-BE49-F238E27FC236}">
                  <a16:creationId xmlns:a16="http://schemas.microsoft.com/office/drawing/2014/main" id="{00000000-0008-0000-0000-0000BB000000}"/>
                </a:ext>
              </a:extLst>
            </xdr:cNvPr>
            <xdr:cNvGrpSpPr/>
          </xdr:nvGrpSpPr>
          <xdr:grpSpPr>
            <a:xfrm>
              <a:off x="11004176" y="9807388"/>
              <a:ext cx="192742" cy="189547"/>
              <a:chOff x="11281209" y="761993"/>
              <a:chExt cx="192506" cy="203343"/>
            </a:xfrm>
          </xdr:grpSpPr>
          <xdr:sp macro="" textlink="">
            <xdr:nvSpPr>
              <xdr:cNvPr id="2339" name="Button 291" hidden="1">
                <a:extLst>
                  <a:ext uri="{63B3BB69-23CF-44E3-9099-C40C66FF867C}">
                    <a14:compatExt spid="_x0000_s2339"/>
                  </a:ext>
                  <a:ext uri="{FF2B5EF4-FFF2-40B4-BE49-F238E27FC236}">
                    <a16:creationId xmlns:a16="http://schemas.microsoft.com/office/drawing/2014/main" id="{00000000-0008-0000-0000-00002309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40" name="Button 292" hidden="1">
                <a:extLst>
                  <a:ext uri="{63B3BB69-23CF-44E3-9099-C40C66FF867C}">
                    <a14:compatExt spid="_x0000_s2340"/>
                  </a:ext>
                  <a:ext uri="{FF2B5EF4-FFF2-40B4-BE49-F238E27FC236}">
                    <a16:creationId xmlns:a16="http://schemas.microsoft.com/office/drawing/2014/main" id="{00000000-0008-0000-0000-000024090000}"/>
                  </a:ext>
                </a:extLst>
              </xdr:cNvPr>
              <xdr:cNvSpPr/>
            </xdr:nvSpPr>
            <xdr:spPr bwMode="auto">
              <a:xfrm>
                <a:off x="11281209" y="86627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55</xdr:row>
          <xdr:rowOff>0</xdr:rowOff>
        </xdr:from>
        <xdr:to>
          <xdr:col>25</xdr:col>
          <xdr:colOff>0</xdr:colOff>
          <xdr:row>56</xdr:row>
          <xdr:rowOff>0</xdr:rowOff>
        </xdr:to>
        <xdr:grpSp>
          <xdr:nvGrpSpPr>
            <xdr:cNvPr id="193" name="Group 192">
              <a:extLst>
                <a:ext uri="{FF2B5EF4-FFF2-40B4-BE49-F238E27FC236}">
                  <a16:creationId xmlns:a16="http://schemas.microsoft.com/office/drawing/2014/main" id="{00000000-0008-0000-0000-0000C1000000}"/>
                </a:ext>
              </a:extLst>
            </xdr:cNvPr>
            <xdr:cNvGrpSpPr/>
          </xdr:nvGrpSpPr>
          <xdr:grpSpPr>
            <a:xfrm>
              <a:off x="11004176" y="10000129"/>
              <a:ext cx="192742" cy="192742"/>
              <a:chOff x="11281209" y="762006"/>
              <a:chExt cx="192506" cy="203331"/>
            </a:xfrm>
          </xdr:grpSpPr>
          <xdr:sp macro="" textlink="">
            <xdr:nvSpPr>
              <xdr:cNvPr id="2343" name="Button 295" hidden="1">
                <a:extLst>
                  <a:ext uri="{63B3BB69-23CF-44E3-9099-C40C66FF867C}">
                    <a14:compatExt spid="_x0000_s2343"/>
                  </a:ext>
                  <a:ext uri="{FF2B5EF4-FFF2-40B4-BE49-F238E27FC236}">
                    <a16:creationId xmlns:a16="http://schemas.microsoft.com/office/drawing/2014/main" id="{00000000-0008-0000-0000-000027090000}"/>
                  </a:ext>
                </a:extLst>
              </xdr:cNvPr>
              <xdr:cNvSpPr/>
            </xdr:nvSpPr>
            <xdr:spPr bwMode="auto">
              <a:xfrm>
                <a:off x="11281209" y="76200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44" name="Button 296" hidden="1">
                <a:extLst>
                  <a:ext uri="{63B3BB69-23CF-44E3-9099-C40C66FF867C}">
                    <a14:compatExt spid="_x0000_s2344"/>
                  </a:ext>
                  <a:ext uri="{FF2B5EF4-FFF2-40B4-BE49-F238E27FC236}">
                    <a16:creationId xmlns:a16="http://schemas.microsoft.com/office/drawing/2014/main" id="{00000000-0008-0000-0000-000028090000}"/>
                  </a:ext>
                </a:extLst>
              </xdr:cNvPr>
              <xdr:cNvSpPr/>
            </xdr:nvSpPr>
            <xdr:spPr bwMode="auto">
              <a:xfrm>
                <a:off x="11281209" y="86627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0</xdr:row>
          <xdr:rowOff>7620</xdr:rowOff>
        </xdr:from>
        <xdr:to>
          <xdr:col>9</xdr:col>
          <xdr:colOff>175260</xdr:colOff>
          <xdr:row>0</xdr:row>
          <xdr:rowOff>228600</xdr:rowOff>
        </xdr:to>
        <xdr:sp macro="" textlink="">
          <xdr:nvSpPr>
            <xdr:cNvPr id="2347" name="Button 299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00000000-0008-0000-0000-00002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Bembo"/>
                </a:rPr>
                <a:t>Level Up!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182880</xdr:colOff>
          <xdr:row>0</xdr:row>
          <xdr:rowOff>7620</xdr:rowOff>
        </xdr:from>
        <xdr:to>
          <xdr:col>11</xdr:col>
          <xdr:colOff>220980</xdr:colOff>
          <xdr:row>0</xdr:row>
          <xdr:rowOff>228600</xdr:rowOff>
        </xdr:to>
        <xdr:sp macro="" textlink="">
          <xdr:nvSpPr>
            <xdr:cNvPr id="2348" name="Button 300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00000000-0008-0000-0000-00002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8000"/>
                  </a:solidFill>
                  <a:latin typeface="Bembo"/>
                </a:rPr>
                <a:t>Commit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0</xdr:row>
          <xdr:rowOff>7620</xdr:rowOff>
        </xdr:from>
        <xdr:to>
          <xdr:col>13</xdr:col>
          <xdr:colOff>99060</xdr:colOff>
          <xdr:row>0</xdr:row>
          <xdr:rowOff>228600</xdr:rowOff>
        </xdr:to>
        <xdr:sp macro="" textlink="">
          <xdr:nvSpPr>
            <xdr:cNvPr id="2350" name="Button 302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00000000-0008-0000-0000-00002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FF0000"/>
                  </a:solidFill>
                  <a:latin typeface="Bembo"/>
                </a:rPr>
                <a:t>Revert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213360</xdr:colOff>
          <xdr:row>48</xdr:row>
          <xdr:rowOff>38100</xdr:rowOff>
        </xdr:from>
        <xdr:to>
          <xdr:col>15</xdr:col>
          <xdr:colOff>228600</xdr:colOff>
          <xdr:row>49</xdr:row>
          <xdr:rowOff>53340</xdr:rowOff>
        </xdr:to>
        <xdr:sp macro="" textlink="">
          <xdr:nvSpPr>
            <xdr:cNvPr id="2351" name="Button 303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00000000-0008-0000-0000-00002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808000"/>
                  </a:solidFill>
                  <a:latin typeface="Bembo"/>
                </a:rPr>
                <a:t>Lock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387724</xdr:colOff>
          <xdr:row>51</xdr:row>
          <xdr:rowOff>70149</xdr:rowOff>
        </xdr:from>
        <xdr:ext cx="422910" cy="156210"/>
        <xdr:sp macro="" textlink="">
          <xdr:nvSpPr>
            <xdr:cNvPr id="2352" name="Button 304" descr="Reset All" hidden="1">
              <a:extLst>
                <a:ext uri="{63B3BB69-23CF-44E3-9099-C40C66FF867C}">
                  <a14:compatExt spid="_x0000_s2352"/>
                </a:ext>
                <a:ext uri="{FF2B5EF4-FFF2-40B4-BE49-F238E27FC236}">
                  <a16:creationId xmlns:a16="http://schemas.microsoft.com/office/drawing/2014/main" id="{00000000-0008-0000-0000-00003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32004" rIns="27432" bIns="32004" anchor="ctr" upright="1">
              <a:spAutoFit/>
            </a:bodyPr>
            <a:lstStyle/>
            <a:p>
              <a:pPr algn="ctr" rtl="0">
                <a:defRPr sz="1000"/>
              </a:pPr>
              <a:r>
                <a:rPr lang="en-US" sz="800" b="1" i="0" u="sng" strike="noStrike" baseline="0">
                  <a:solidFill>
                    <a:srgbClr val="FF0000"/>
                  </a:solidFill>
                  <a:latin typeface="Bembo"/>
                </a:rPr>
                <a:t>Reset All</a:t>
              </a:r>
            </a:p>
          </xdr:txBody>
        </xdr:sp>
        <xdr:clientData fPrintsWithSheet="0"/>
      </xdr:one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838979-E418-4CF1-B31A-29F3616B45D1}" name="BaselineLevel5NPCs" displayName="BaselineLevel5NPCs" ref="A4:K50" totalsRowShown="0" headerRowDxfId="2">
  <autoFilter ref="A4:K50" xr:uid="{70838979-E418-4CF1-B31A-29F3616B45D1}"/>
  <tableColumns count="11">
    <tableColumn id="1" xr3:uid="{FC2B407D-EEBC-4132-8E9D-3033286D9C76}" name="Race"/>
    <tableColumn id="2" xr3:uid="{71C8DB70-4956-4F3B-8DFB-D6BDDB46FC1B}" name="Profession"/>
    <tableColumn id="3" xr3:uid="{F63C819A-C6F9-491E-9D94-8EC81E79CB69}" name="Array"/>
    <tableColumn id="4" xr3:uid="{D7F408AE-5866-426A-BC50-C20536BBC4A9}" name="Strength"/>
    <tableColumn id="5" xr3:uid="{0BF6FD82-4B00-46E3-A9E9-CDAFAB71B091}" name="Agility"/>
    <tableColumn id="6" xr3:uid="{CB5540B6-D2ED-412D-BDC2-7407AB079974}" name="Constitution"/>
    <tableColumn id="7" xr3:uid="{5D58C50D-EBB5-4355-839D-1F8C77A4B565}" name="Intelligence"/>
    <tableColumn id="8" xr3:uid="{D9579B88-1C7F-49A9-8E01-6F51902ADEC5}" name="Presence"/>
    <tableColumn id="9" xr3:uid="{D51CEC56-8FE2-4447-8D42-AA32993A8D5F}" name="Piety"/>
    <tableColumn id="10" xr3:uid="{48D9D199-160A-410E-8663-208AEB96E4B7}" name="Hits" dataDxfId="1"/>
    <tableColumn id="11" xr3:uid="{866E99D3-1548-4877-80BB-E4E3517C421C}" name="Signature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58DCE3-CF04-A241-B643-225ACBA0485E}" name="Table2" displayName="Table2" ref="E37:F42" headerRowCount="0" totalsRowShown="0">
  <tableColumns count="2">
    <tableColumn id="2" xr3:uid="{82131BAA-45C7-794F-AB49-DFF24EC97D39}" name="Roll + Bonus"/>
    <tableColumn id="3" xr3:uid="{076DC89D-D1CC-3F4C-B03A-5697553F4069}" name="Outcome"/>
  </tableColumns>
  <tableStyleInfo name="TableStyleMedium14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E1E869B2-0CC0-8244-A97A-E1CFBA0BAE93}" name="Table28" displayName="Table28" ref="A37:C47" headerRowCount="0" totalsRowShown="0">
  <tableColumns count="3">
    <tableColumn id="1" xr3:uid="{D08806E1-D473-A441-9201-614D084F9792}" name="Column1"/>
    <tableColumn id="2" xr3:uid="{2D6075E0-7495-F44C-A344-F4CCA1DD6929}" name="Column2" headerRowDxfId="30" dataDxfId="29"/>
    <tableColumn id="3" xr3:uid="{0B865F76-E61B-6544-9B41-A4A2E7C152DD}" name="Column3" headerRowDxfId="28" dataDxfId="2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5134BA6-C8A9-A14C-B3BE-037D6FEC81F6}" name="Table29" displayName="Table29" ref="A25:B27" headerRowCount="0" totalsRowShown="0" headerRowDxfId="26" dataDxfId="25">
  <tableColumns count="2">
    <tableColumn id="1" xr3:uid="{B6B32A0E-EB9A-CC4A-99A2-065707DF3245}" name="Column1" headerRowDxfId="24" dataDxfId="23"/>
    <tableColumn id="2" xr3:uid="{647C541E-3632-1D43-81B3-0DFE26CD1A10}" name="Column2" headerRowDxfId="22" dataDxfId="21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AA8D7A09-81AA-324A-8F68-AC56FD68BC31}" name="Table30" displayName="Table30" ref="A31:B33" headerRowCount="0" totalsRowShown="0" headerRowDxfId="20" dataDxfId="19">
  <tableColumns count="2">
    <tableColumn id="1" xr3:uid="{40A1B792-9D50-5648-9C47-1649D813CF8E}" name="Column1" headerRowDxfId="18" dataDxfId="17"/>
    <tableColumn id="2" xr3:uid="{9F43CB75-1BB8-7444-89A5-E34CBF214000}" name="Column2" headerRowDxfId="16" dataDxfId="15"/>
  </tableColumns>
  <tableStyleInfo name="TableStyleMedium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329F2B95-AFE1-424C-B2FC-A7186D786A3E}" name="Table31" displayName="Table31" ref="A14:B20" headerRowCount="0" totalsRowShown="0">
  <tableColumns count="2">
    <tableColumn id="1" xr3:uid="{BB268723-8BC2-6D4C-9D0A-AA6518BED0F9}" name="Column1"/>
    <tableColumn id="2" xr3:uid="{BE2B5DCA-29F2-A840-8EED-FE44CDF4C444}" name="Column2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27DB2E93-8674-034C-B509-F5BF022884EA}" name="Table32" displayName="Table32" ref="A24:B26" headerRowCount="0" totalsRowShown="0" headerRowDxfId="14" dataDxfId="13">
  <tableColumns count="2">
    <tableColumn id="1" xr3:uid="{5EF20C03-4ECF-FC4C-B95A-704381F44805}" name="Column1" headerRowDxfId="12" dataDxfId="11"/>
    <tableColumn id="2" xr3:uid="{8DAF8956-00E9-8E4D-97C1-6564FA15A3B8}" name="Column2" headerRowDxfId="10" dataDxfId="9"/>
  </tableColumns>
  <tableStyleInfo name="TableStyleMedium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7C1D1C5-5E2C-0F4E-8A65-D8FA9615848B}" name="Table33" displayName="Table33" ref="A30:B32" headerRowCount="0" totalsRowShown="0" headerRowDxfId="8" dataDxfId="7">
  <tableColumns count="2">
    <tableColumn id="1" xr3:uid="{8F01CE92-1FC9-DC4C-8E0D-B367AD8A897F}" name="Column1" headerRowDxfId="6" dataDxfId="5"/>
    <tableColumn id="2" xr3:uid="{B04DB00F-9F72-434F-A953-7A45861D58BB}" name="Column2" headerRowDxfId="4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Parcel">
  <a:themeElements>
    <a:clrScheme name="Parcel">
      <a:dk1>
        <a:srgbClr val="000000"/>
      </a:dk1>
      <a:lt1>
        <a:srgbClr val="FFFFFF"/>
      </a:lt1>
      <a:dk2>
        <a:srgbClr val="4A5356"/>
      </a:dk2>
      <a:lt2>
        <a:srgbClr val="E8E3CE"/>
      </a:lt2>
      <a:accent1>
        <a:srgbClr val="F6A21D"/>
      </a:accent1>
      <a:accent2>
        <a:srgbClr val="9BAFB5"/>
      </a:accent2>
      <a:accent3>
        <a:srgbClr val="C96731"/>
      </a:accent3>
      <a:accent4>
        <a:srgbClr val="9CA383"/>
      </a:accent4>
      <a:accent5>
        <a:srgbClr val="87795D"/>
      </a:accent5>
      <a:accent6>
        <a:srgbClr val="A0988C"/>
      </a:accent6>
      <a:hlink>
        <a:srgbClr val="00B0F0"/>
      </a:hlink>
      <a:folHlink>
        <a:srgbClr val="738F97"/>
      </a:folHlink>
    </a:clrScheme>
    <a:fontScheme name="Body and Mind">
      <a:majorFont>
        <a:latin typeface="Nyala"/>
        <a:ea typeface=""/>
        <a:cs typeface=""/>
      </a:majorFont>
      <a:minorFont>
        <a:latin typeface="Bembo"/>
        <a:ea typeface=""/>
        <a:cs typeface=""/>
      </a:minorFont>
    </a:fontScheme>
    <a:fmtScheme name="Parcel">
      <a: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107000"/>
                <a:lumMod val="103000"/>
              </a:schemeClr>
            </a:gs>
            <a:gs pos="100000">
              <a:schemeClr val="phClr">
                <a:tint val="82000"/>
                <a:satMod val="109000"/>
                <a:lumMod val="103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7000"/>
                <a:satMod val="100000"/>
                <a:lumMod val="102000"/>
              </a:schemeClr>
            </a:gs>
            <a:gs pos="50000">
              <a:schemeClr val="phClr">
                <a:shade val="100000"/>
                <a:satMod val="103000"/>
                <a:lumMod val="100000"/>
              </a:schemeClr>
            </a:gs>
            <a:gs pos="100000">
              <a:schemeClr val="phClr">
                <a:shade val="93000"/>
                <a:satMod val="11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5880" dist="1524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prstMaterial="dkEdge">
            <a:bevelT w="0" h="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7000"/>
                <a:shade val="100000"/>
                <a:satMod val="185000"/>
                <a:lumMod val="120000"/>
              </a:schemeClr>
            </a:gs>
            <a:gs pos="100000">
              <a:schemeClr val="phClr">
                <a:tint val="96000"/>
                <a:shade val="95000"/>
                <a:satMod val="215000"/>
                <a:lumMod val="80000"/>
              </a:schemeClr>
            </a:gs>
          </a:gsLst>
          <a:path path="circle">
            <a:fillToRect l="50000" t="55000" r="125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Parcel" id="{8BEC4385-4EB9-4D53-BFB5-0EA123736B6D}" vid="{4DB32801-28C0-48B0-8C1D-A9A58613615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BF07E-044E-4EE1-9A47-05073F7DA589}">
  <sheetPr codeName="Sheet9">
    <tabColor rgb="FFFFC000"/>
  </sheetPr>
  <dimension ref="B1:AP57"/>
  <sheetViews>
    <sheetView zoomScale="85" zoomScaleNormal="85" zoomScalePageLayoutView="85" workbookViewId="0">
      <pane ySplit="1" topLeftCell="A17" activePane="bottomLeft" state="frozen"/>
      <selection pane="bottomLeft" activeCell="AA39" sqref="AA39"/>
    </sheetView>
  </sheetViews>
  <sheetFormatPr defaultRowHeight="14.1" x14ac:dyDescent="0.5"/>
  <cols>
    <col min="1" max="1" width="3.21875" customWidth="1"/>
    <col min="2" max="2" width="14.44140625" customWidth="1"/>
    <col min="3" max="3" width="0.88671875" customWidth="1"/>
    <col min="4" max="4" width="27" style="219" customWidth="1"/>
    <col min="5" max="5" width="2.21875" customWidth="1"/>
    <col min="6" max="6" width="5.88671875" customWidth="1"/>
    <col min="7" max="7" width="12" customWidth="1"/>
    <col min="8" max="8" width="4.5546875" customWidth="1"/>
    <col min="9" max="9" width="1" customWidth="1"/>
    <col min="10" max="10" width="6.44140625" customWidth="1"/>
    <col min="11" max="11" width="1" customWidth="1"/>
    <col min="12" max="12" width="8.5546875" bestFit="1" customWidth="1"/>
    <col min="13" max="13" width="1" customWidth="1"/>
    <col min="14" max="14" width="8.5546875" bestFit="1" customWidth="1"/>
    <col min="15" max="15" width="1" customWidth="1"/>
    <col min="16" max="16" width="6.44140625" customWidth="1"/>
    <col min="17" max="17" width="3.33203125" customWidth="1"/>
    <col min="18" max="18" width="5.109375" customWidth="1"/>
    <col min="19" max="19" width="24.44140625" bestFit="1" customWidth="1"/>
    <col min="20" max="20" width="24.44140625" hidden="1" customWidth="1"/>
    <col min="21" max="21" width="17.33203125" style="14" bestFit="1" customWidth="1"/>
    <col min="22" max="22" width="5.77734375" style="14" hidden="1" customWidth="1"/>
    <col min="23" max="23" width="5.33203125" style="14" hidden="1" customWidth="1"/>
    <col min="24" max="24" width="6" style="224" customWidth="1"/>
    <col min="25" max="25" width="2.77734375" customWidth="1"/>
    <col min="26" max="26" width="2.77734375" hidden="1" customWidth="1"/>
    <col min="27" max="27" width="8.5546875" style="252" bestFit="1" customWidth="1"/>
    <col min="28" max="28" width="1.109375" customWidth="1"/>
    <col min="29" max="29" width="5.88671875" style="224" customWidth="1"/>
    <col min="30" max="30" width="1.109375" customWidth="1"/>
    <col min="31" max="31" width="5.88671875" style="224" customWidth="1"/>
    <col min="32" max="32" width="1.109375" customWidth="1"/>
    <col min="33" max="33" width="6.77734375" customWidth="1"/>
    <col min="34" max="34" width="1.109375" customWidth="1"/>
    <col min="35" max="35" width="6.5546875" customWidth="1"/>
    <col min="36" max="36" width="1.109375" customWidth="1"/>
    <col min="37" max="37" width="7.6640625" style="228" customWidth="1"/>
    <col min="38" max="38" width="2.44140625" customWidth="1"/>
    <col min="40" max="40" width="11.6640625" customWidth="1"/>
    <col min="41" max="41" width="10.21875" bestFit="1" customWidth="1"/>
  </cols>
  <sheetData>
    <row r="1" spans="2:42" ht="19.2" thickBot="1" x14ac:dyDescent="0.7">
      <c r="B1" s="262" t="s">
        <v>487</v>
      </c>
      <c r="C1" s="262"/>
      <c r="D1" s="265"/>
      <c r="F1" s="262" t="s">
        <v>83</v>
      </c>
      <c r="G1" s="262"/>
      <c r="H1" s="262"/>
      <c r="I1" s="262"/>
      <c r="J1" s="262"/>
      <c r="K1" s="262"/>
      <c r="L1" s="262"/>
      <c r="M1" s="262"/>
      <c r="N1" s="262"/>
      <c r="O1" s="262"/>
      <c r="P1" s="265">
        <v>0</v>
      </c>
      <c r="R1" s="262" t="s">
        <v>484</v>
      </c>
      <c r="S1" s="262"/>
      <c r="T1" s="261"/>
      <c r="U1" s="263" t="s">
        <v>525</v>
      </c>
      <c r="V1" s="263"/>
      <c r="W1" s="263"/>
      <c r="X1" s="261">
        <f>EarnedSP-(SpendingSP+UsedSP)</f>
        <v>0</v>
      </c>
      <c r="Y1" s="261"/>
      <c r="Z1" s="261"/>
      <c r="AA1" s="362" t="s">
        <v>556</v>
      </c>
      <c r="AB1" s="362"/>
      <c r="AC1" s="362"/>
      <c r="AD1" s="261"/>
      <c r="AE1" s="261">
        <f>SUM(Z:Z)</f>
        <v>0</v>
      </c>
      <c r="AF1" s="261"/>
      <c r="AG1" s="261"/>
      <c r="AH1" s="261"/>
      <c r="AI1" s="261"/>
      <c r="AJ1" s="261"/>
      <c r="AK1" s="264"/>
    </row>
    <row r="2" spans="2:42" ht="14.4" thickTop="1" x14ac:dyDescent="0.5"/>
    <row r="3" spans="2:42" ht="16.5" thickBot="1" x14ac:dyDescent="0.6">
      <c r="B3" s="26" t="s">
        <v>488</v>
      </c>
      <c r="C3" s="26"/>
      <c r="D3" s="218"/>
      <c r="F3" s="362" t="s">
        <v>491</v>
      </c>
      <c r="G3" s="362"/>
      <c r="H3" s="362"/>
      <c r="I3" s="362"/>
      <c r="J3" s="362"/>
      <c r="K3" s="362"/>
      <c r="L3" s="362"/>
      <c r="M3" s="362"/>
      <c r="N3" s="362"/>
      <c r="O3" s="362"/>
      <c r="P3" s="362"/>
      <c r="R3" s="362" t="s">
        <v>498</v>
      </c>
      <c r="S3" s="362"/>
      <c r="T3" s="362"/>
      <c r="U3" s="362"/>
      <c r="V3" s="362"/>
      <c r="W3" s="362"/>
      <c r="X3" s="362"/>
      <c r="Y3" s="362"/>
      <c r="Z3" s="362"/>
      <c r="AA3" s="362"/>
      <c r="AB3" s="362"/>
      <c r="AC3" s="362"/>
      <c r="AD3" s="362"/>
      <c r="AE3" s="362"/>
      <c r="AF3" s="362"/>
      <c r="AG3" s="362"/>
      <c r="AH3" s="362"/>
      <c r="AI3" s="362"/>
      <c r="AJ3" s="362"/>
      <c r="AK3" s="362"/>
    </row>
    <row r="4" spans="2:42" ht="28.2" customHeight="1" x14ac:dyDescent="0.5">
      <c r="F4" s="182"/>
      <c r="G4" s="182"/>
      <c r="H4" s="183" t="s">
        <v>492</v>
      </c>
      <c r="I4" s="183"/>
      <c r="J4" s="183" t="s">
        <v>493</v>
      </c>
      <c r="K4" s="183"/>
      <c r="L4" s="183" t="s">
        <v>494</v>
      </c>
      <c r="M4" s="183"/>
      <c r="N4" s="183" t="s">
        <v>495</v>
      </c>
      <c r="O4" s="182"/>
      <c r="P4" s="183" t="s">
        <v>484</v>
      </c>
      <c r="R4" s="183" t="s">
        <v>150</v>
      </c>
      <c r="S4" s="183" t="s">
        <v>149</v>
      </c>
      <c r="T4" s="183"/>
      <c r="U4" s="183" t="s">
        <v>492</v>
      </c>
      <c r="V4" s="183" t="s">
        <v>537</v>
      </c>
      <c r="W4" s="183" t="s">
        <v>550</v>
      </c>
      <c r="X4" s="184" t="s">
        <v>499</v>
      </c>
      <c r="Y4" s="184"/>
      <c r="Z4" s="184"/>
      <c r="AA4" s="226" t="s">
        <v>554</v>
      </c>
      <c r="AB4" s="184"/>
      <c r="AC4" s="184" t="s">
        <v>493</v>
      </c>
      <c r="AD4" s="184"/>
      <c r="AE4" s="184" t="s">
        <v>495</v>
      </c>
      <c r="AF4" s="184"/>
      <c r="AG4" s="184" t="s">
        <v>500</v>
      </c>
      <c r="AH4" s="184"/>
      <c r="AI4" s="184" t="s">
        <v>500</v>
      </c>
      <c r="AJ4" s="184"/>
      <c r="AK4" s="185" t="s">
        <v>501</v>
      </c>
      <c r="AO4" t="s">
        <v>484</v>
      </c>
    </row>
    <row r="5" spans="2:42" ht="14.4" thickBot="1" x14ac:dyDescent="0.55000000000000004">
      <c r="B5" s="26" t="s">
        <v>489</v>
      </c>
      <c r="C5" s="26"/>
      <c r="D5" s="218" t="s">
        <v>565</v>
      </c>
      <c r="F5" s="175" t="s">
        <v>5</v>
      </c>
      <c r="G5" s="175"/>
      <c r="H5" s="175"/>
      <c r="I5" s="175"/>
      <c r="J5" s="175"/>
      <c r="K5" s="175"/>
      <c r="L5" s="175"/>
      <c r="M5" s="175"/>
      <c r="N5" s="175"/>
      <c r="O5" s="175"/>
      <c r="P5" s="175"/>
      <c r="R5" s="366" t="s">
        <v>5</v>
      </c>
      <c r="S5" s="366"/>
      <c r="T5" s="366"/>
      <c r="U5" s="366"/>
      <c r="V5" s="366"/>
      <c r="W5" s="366"/>
      <c r="X5" s="366"/>
      <c r="Y5" s="366"/>
      <c r="Z5" s="366"/>
      <c r="AA5" s="366"/>
      <c r="AB5" s="366"/>
      <c r="AC5" s="366"/>
      <c r="AD5" s="366"/>
      <c r="AE5" s="366"/>
      <c r="AF5" s="366"/>
      <c r="AG5" s="366"/>
      <c r="AH5" s="366"/>
      <c r="AI5" s="366"/>
      <c r="AJ5" s="366"/>
      <c r="AK5" s="366"/>
      <c r="AO5" t="s">
        <v>533</v>
      </c>
      <c r="AP5">
        <f>CurrentLevel*(BodySkillPoints + BrainSkillPoints)</f>
        <v>0</v>
      </c>
    </row>
    <row r="6" spans="2:42" ht="15.3" thickBot="1" x14ac:dyDescent="0.55000000000000004">
      <c r="B6" s="26" t="s">
        <v>490</v>
      </c>
      <c r="C6" s="26"/>
      <c r="D6" s="218" t="s">
        <v>566</v>
      </c>
      <c r="F6" s="164"/>
      <c r="G6" s="164" t="s">
        <v>0</v>
      </c>
      <c r="H6" s="163">
        <v>100</v>
      </c>
      <c r="I6" s="163"/>
      <c r="J6" s="176">
        <f>INDEX(StatBonus,StrengthStat)</f>
        <v>10</v>
      </c>
      <c r="K6" s="163"/>
      <c r="L6" s="176">
        <f>GetRaceBonus(SelectedRace, 1)</f>
        <v>3</v>
      </c>
      <c r="M6" s="163"/>
      <c r="N6" s="211">
        <f>J6+L6</f>
        <v>13</v>
      </c>
      <c r="O6" s="163"/>
      <c r="P6" s="190">
        <f>INDEX(SkillPoints,H6)</f>
        <v>7</v>
      </c>
      <c r="R6" s="163"/>
      <c r="S6" s="164" t="s">
        <v>502</v>
      </c>
      <c r="T6" s="164">
        <f>MATCH(S6,SkillList,)</f>
        <v>16</v>
      </c>
      <c r="U6" s="165" t="s">
        <v>1</v>
      </c>
      <c r="V6" s="165">
        <v>0</v>
      </c>
      <c r="W6" s="165">
        <v>0</v>
      </c>
      <c r="X6" s="233">
        <f>V6+W6</f>
        <v>0</v>
      </c>
      <c r="Y6" s="163"/>
      <c r="Z6" s="163">
        <v>0</v>
      </c>
      <c r="AA6" s="253" t="str">
        <f>GetNextSkillCost(SelectedProfession,S6,V6,T6)</f>
        <v>3</v>
      </c>
      <c r="AB6" s="163"/>
      <c r="AC6" s="233">
        <f>INDEX(SkillLevelBonus,X6+1)</f>
        <v>-5</v>
      </c>
      <c r="AD6" s="163"/>
      <c r="AE6" s="234">
        <f>AE7</f>
        <v>6</v>
      </c>
      <c r="AF6" s="163"/>
      <c r="AG6" s="241"/>
      <c r="AH6" s="163"/>
      <c r="AI6" s="241"/>
      <c r="AJ6" s="163"/>
      <c r="AK6" s="237">
        <f>formatstat(SUM(AC6:AI6))</f>
        <v>1</v>
      </c>
      <c r="AO6" t="s">
        <v>534</v>
      </c>
      <c r="AP6">
        <v>0</v>
      </c>
    </row>
    <row r="7" spans="2:42" ht="15.3" thickBot="1" x14ac:dyDescent="0.55000000000000004">
      <c r="B7" s="26" t="s">
        <v>532</v>
      </c>
      <c r="C7" s="26"/>
      <c r="D7" s="218" t="s">
        <v>399</v>
      </c>
      <c r="F7" s="164"/>
      <c r="G7" s="164" t="s">
        <v>1</v>
      </c>
      <c r="H7" s="177">
        <v>95</v>
      </c>
      <c r="I7" s="163"/>
      <c r="J7" s="176">
        <f>INDEX(StatBonus,AgilityStat)</f>
        <v>4</v>
      </c>
      <c r="K7" s="163"/>
      <c r="L7" s="178">
        <f>GetRaceBonus(SelectedRace, 2)</f>
        <v>0</v>
      </c>
      <c r="M7" s="163"/>
      <c r="N7" s="211">
        <f t="shared" ref="N7:N8" si="0">J7+L7</f>
        <v>4</v>
      </c>
      <c r="O7" s="163"/>
      <c r="P7" s="163">
        <f>INDEX(SkillPoints,H7)</f>
        <v>4</v>
      </c>
      <c r="R7" s="163"/>
      <c r="S7" s="164" t="s">
        <v>425</v>
      </c>
      <c r="T7" s="164">
        <f>MATCH(S7,SkillList,)</f>
        <v>17</v>
      </c>
      <c r="U7" s="165" t="s">
        <v>2</v>
      </c>
      <c r="V7" s="165">
        <v>0</v>
      </c>
      <c r="W7" s="165">
        <v>0</v>
      </c>
      <c r="X7" s="233">
        <f t="shared" ref="X7:X10" si="1">V7+W7</f>
        <v>0</v>
      </c>
      <c r="Y7" s="163"/>
      <c r="Z7" s="163">
        <v>0</v>
      </c>
      <c r="AA7" s="253" t="str">
        <f>GetNextSkillCost(SelectedProfession,S7,V7,T7)</f>
        <v>5</v>
      </c>
      <c r="AB7" s="163"/>
      <c r="AC7" s="233">
        <f>INDEX(SkillLevelBonus,X7+1)</f>
        <v>-5</v>
      </c>
      <c r="AD7" s="163"/>
      <c r="AE7" s="234">
        <f>N8</f>
        <v>6</v>
      </c>
      <c r="AF7" s="163"/>
      <c r="AG7" s="242"/>
      <c r="AH7" s="163"/>
      <c r="AI7" s="163"/>
      <c r="AJ7" s="163"/>
      <c r="AK7" s="237">
        <f t="shared" ref="AK7:AK26" si="2">formatstat(SUM(AC7:AI7))</f>
        <v>1</v>
      </c>
      <c r="AO7" t="s">
        <v>563</v>
      </c>
      <c r="AP7">
        <v>0</v>
      </c>
    </row>
    <row r="8" spans="2:42" ht="15.3" thickBot="1" x14ac:dyDescent="0.55000000000000004">
      <c r="F8" s="164"/>
      <c r="G8" s="164" t="s">
        <v>2</v>
      </c>
      <c r="H8" s="177">
        <v>95</v>
      </c>
      <c r="I8" s="163"/>
      <c r="J8" s="176">
        <f>INDEX(StatBonus,ConstitutionStat)</f>
        <v>4</v>
      </c>
      <c r="K8" s="163"/>
      <c r="L8" s="163">
        <f>GetRaceBonus(SelectedRace, 3)</f>
        <v>2</v>
      </c>
      <c r="M8" s="163"/>
      <c r="N8" s="163">
        <f t="shared" si="0"/>
        <v>6</v>
      </c>
      <c r="O8" s="163"/>
      <c r="P8" s="180">
        <f>INDEX(SkillPoints,H8)</f>
        <v>4</v>
      </c>
      <c r="R8" s="163"/>
      <c r="S8" s="164" t="s">
        <v>426</v>
      </c>
      <c r="T8" s="164">
        <f>MATCH(S8,SkillList,)</f>
        <v>18</v>
      </c>
      <c r="U8" s="165" t="s">
        <v>1</v>
      </c>
      <c r="V8" s="165">
        <v>0</v>
      </c>
      <c r="W8" s="165">
        <v>0</v>
      </c>
      <c r="X8" s="233">
        <f t="shared" si="1"/>
        <v>0</v>
      </c>
      <c r="Y8" s="163"/>
      <c r="Z8" s="163">
        <v>0</v>
      </c>
      <c r="AA8" s="253" t="str">
        <f>GetNextSkillCost(SelectedProfession,S8,V8,T8)</f>
        <v>5</v>
      </c>
      <c r="AB8" s="163"/>
      <c r="AC8" s="233">
        <f>INDEX(SkillLevelBonus,X8+1)</f>
        <v>-5</v>
      </c>
      <c r="AD8" s="163"/>
      <c r="AE8" s="234">
        <v>2</v>
      </c>
      <c r="AF8" s="163"/>
      <c r="AG8" s="163"/>
      <c r="AH8" s="163"/>
      <c r="AI8" s="240"/>
      <c r="AJ8" s="163"/>
      <c r="AK8" s="249">
        <f t="shared" si="2"/>
        <v>-3</v>
      </c>
    </row>
    <row r="9" spans="2:42" ht="15.3" thickBot="1" x14ac:dyDescent="0.55000000000000004">
      <c r="F9" s="164"/>
      <c r="G9" s="164"/>
      <c r="H9" s="177"/>
      <c r="I9" s="163"/>
      <c r="J9" s="177"/>
      <c r="K9" s="163"/>
      <c r="L9" s="177"/>
      <c r="M9" s="163"/>
      <c r="N9" s="210">
        <f>AVERAGE(N6:N8)</f>
        <v>7.666666666666667</v>
      </c>
      <c r="O9" s="163"/>
      <c r="P9" s="180">
        <f>SUM(P6:P8)</f>
        <v>15</v>
      </c>
      <c r="R9" s="163"/>
      <c r="S9" s="164" t="s">
        <v>427</v>
      </c>
      <c r="T9" s="164">
        <f>MATCH(S9,SkillList,)</f>
        <v>19</v>
      </c>
      <c r="U9" s="165" t="s">
        <v>0</v>
      </c>
      <c r="V9" s="165">
        <v>0</v>
      </c>
      <c r="W9" s="165">
        <v>0</v>
      </c>
      <c r="X9" s="233">
        <f t="shared" si="1"/>
        <v>0</v>
      </c>
      <c r="Y9" s="163"/>
      <c r="Z9" s="163">
        <v>0</v>
      </c>
      <c r="AA9" s="253" t="str">
        <f>GetNextSkillCost(SelectedProfession,S9,V9,T9)</f>
        <v>4</v>
      </c>
      <c r="AB9" s="163"/>
      <c r="AC9" s="233">
        <f>INDEX(SkillLevelBonus,X9+1)</f>
        <v>-5</v>
      </c>
      <c r="AD9" s="163"/>
      <c r="AE9" s="234">
        <f>N6</f>
        <v>13</v>
      </c>
      <c r="AF9" s="163"/>
      <c r="AG9" s="240"/>
      <c r="AH9" s="163"/>
      <c r="AI9" s="242"/>
      <c r="AJ9" s="163"/>
      <c r="AK9" s="237">
        <f t="shared" si="2"/>
        <v>8</v>
      </c>
    </row>
    <row r="10" spans="2:42" ht="15.3" thickBot="1" x14ac:dyDescent="0.55000000000000004">
      <c r="R10" s="163"/>
      <c r="S10" s="164" t="s">
        <v>551</v>
      </c>
      <c r="T10" s="164">
        <f>MATCH(S10,SkillList,)</f>
        <v>20</v>
      </c>
      <c r="U10" s="165" t="s">
        <v>5</v>
      </c>
      <c r="V10" s="165">
        <v>0</v>
      </c>
      <c r="W10" s="165">
        <v>1</v>
      </c>
      <c r="X10" s="233">
        <f t="shared" si="1"/>
        <v>1</v>
      </c>
      <c r="Y10" s="163"/>
      <c r="Z10" s="163">
        <v>0</v>
      </c>
      <c r="AA10" s="253" t="str">
        <f>GetNextSkillCost(SelectedProfession,S10,V10,T10)</f>
        <v/>
      </c>
      <c r="AB10" s="163"/>
      <c r="AC10" s="233">
        <f>INDEX(SkillLevelBonus,X10+1)</f>
        <v>5</v>
      </c>
      <c r="AD10" s="163"/>
      <c r="AE10" s="234">
        <f>N9</f>
        <v>7.666666666666667</v>
      </c>
      <c r="AF10" s="163"/>
      <c r="AG10" s="240"/>
      <c r="AH10" s="163"/>
      <c r="AI10" s="163"/>
      <c r="AJ10" s="163"/>
      <c r="AK10" s="237">
        <f t="shared" si="2"/>
        <v>13</v>
      </c>
    </row>
    <row r="11" spans="2:42" ht="3.6" customHeight="1" x14ac:dyDescent="0.5">
      <c r="X11" s="227"/>
      <c r="Y11" s="161"/>
      <c r="Z11" s="161"/>
      <c r="AA11" s="251"/>
      <c r="AB11" s="161"/>
      <c r="AG11" s="243"/>
      <c r="AI11" s="243"/>
      <c r="AK11" s="186"/>
    </row>
    <row r="12" spans="2:42" ht="14.4" thickBot="1" x14ac:dyDescent="0.55000000000000004">
      <c r="B12" s="26" t="s">
        <v>517</v>
      </c>
      <c r="C12" s="26"/>
      <c r="D12" s="218"/>
      <c r="F12" s="171" t="s">
        <v>497</v>
      </c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R12" s="363" t="s">
        <v>497</v>
      </c>
      <c r="S12" s="363"/>
      <c r="T12" s="363"/>
      <c r="U12" s="363"/>
      <c r="V12" s="363"/>
      <c r="W12" s="363"/>
      <c r="X12" s="363"/>
      <c r="Y12" s="363"/>
      <c r="Z12" s="363"/>
      <c r="AA12" s="363"/>
      <c r="AB12" s="363"/>
      <c r="AC12" s="363"/>
      <c r="AD12" s="363"/>
      <c r="AE12" s="363"/>
      <c r="AF12" s="363"/>
      <c r="AG12" s="363"/>
      <c r="AH12" s="363"/>
      <c r="AI12" s="363"/>
      <c r="AJ12" s="363"/>
      <c r="AK12" s="363"/>
    </row>
    <row r="13" spans="2:42" ht="15.3" thickBot="1" x14ac:dyDescent="0.55000000000000004">
      <c r="F13" s="167"/>
      <c r="G13" s="167" t="s">
        <v>3</v>
      </c>
      <c r="H13" s="166">
        <v>60</v>
      </c>
      <c r="I13" s="166"/>
      <c r="J13" s="172">
        <f>INDEX(StatBonus,IntelligenceStat)</f>
        <v>1</v>
      </c>
      <c r="K13" s="166"/>
      <c r="L13" s="172">
        <f>GetRaceBonus(SelectedRace,4)</f>
        <v>-3</v>
      </c>
      <c r="M13" s="166"/>
      <c r="N13" s="209">
        <f>J13+L13</f>
        <v>-2</v>
      </c>
      <c r="O13" s="166"/>
      <c r="P13" s="193">
        <f>INDEX(SkillPoints,H13)</f>
        <v>1</v>
      </c>
      <c r="R13" s="166"/>
      <c r="S13" s="167" t="s">
        <v>27</v>
      </c>
      <c r="T13" s="164">
        <f t="shared" ref="T13:T19" si="3">MATCH(S13,SkillList,)</f>
        <v>23</v>
      </c>
      <c r="U13" s="168" t="s">
        <v>4</v>
      </c>
      <c r="V13" s="168">
        <v>0</v>
      </c>
      <c r="W13" s="168">
        <v>0</v>
      </c>
      <c r="X13" s="231">
        <f>V13+W13</f>
        <v>0</v>
      </c>
      <c r="Y13" s="166"/>
      <c r="Z13" s="166">
        <v>0</v>
      </c>
      <c r="AA13" s="254" t="str">
        <f t="shared" ref="AA13:AA19" si="4">GetNextSkillCost(SelectedProfession,S13,V13,T13)</f>
        <v>20</v>
      </c>
      <c r="AB13" s="166"/>
      <c r="AC13" s="231">
        <f t="shared" ref="AC13:AC19" si="5">INDEX(SkillLevelBonus,X13+1)</f>
        <v>-5</v>
      </c>
      <c r="AD13" s="166"/>
      <c r="AE13" s="232">
        <f>N14</f>
        <v>1</v>
      </c>
      <c r="AF13" s="166"/>
      <c r="AG13" s="166"/>
      <c r="AH13" s="166"/>
      <c r="AI13" s="166"/>
      <c r="AJ13" s="166"/>
      <c r="AK13" s="238">
        <f t="shared" si="2"/>
        <v>-4</v>
      </c>
    </row>
    <row r="14" spans="2:42" ht="15.3" thickBot="1" x14ac:dyDescent="0.55000000000000004">
      <c r="B14" s="26" t="s">
        <v>518</v>
      </c>
      <c r="C14" s="26"/>
      <c r="D14" s="218"/>
      <c r="F14" s="167"/>
      <c r="G14" s="167" t="s">
        <v>4</v>
      </c>
      <c r="H14" s="173">
        <v>76</v>
      </c>
      <c r="I14" s="166"/>
      <c r="J14" s="174">
        <f>INDEX(StatBonus,PresenceStat)</f>
        <v>2</v>
      </c>
      <c r="K14" s="166"/>
      <c r="L14" s="174">
        <f>GetRaceBonus(SelectedRace,5)</f>
        <v>-1</v>
      </c>
      <c r="M14" s="166"/>
      <c r="N14" s="166">
        <f t="shared" ref="N14:N15" si="6">J14+L14</f>
        <v>1</v>
      </c>
      <c r="O14" s="166"/>
      <c r="P14" s="166">
        <f>INDEX(SkillPoints,H14)</f>
        <v>2</v>
      </c>
      <c r="R14" s="166"/>
      <c r="S14" s="167" t="s">
        <v>28</v>
      </c>
      <c r="T14" s="164">
        <f t="shared" si="3"/>
        <v>24</v>
      </c>
      <c r="U14" s="168" t="s">
        <v>3</v>
      </c>
      <c r="V14" s="168">
        <v>0</v>
      </c>
      <c r="W14" s="168">
        <v>0</v>
      </c>
      <c r="X14" s="231">
        <f t="shared" ref="X14:X19" si="7">V14+W14</f>
        <v>0</v>
      </c>
      <c r="Y14" s="166"/>
      <c r="Z14" s="166">
        <v>0</v>
      </c>
      <c r="AA14" s="254" t="str">
        <f t="shared" si="4"/>
        <v>15</v>
      </c>
      <c r="AB14" s="166"/>
      <c r="AC14" s="231">
        <f t="shared" si="5"/>
        <v>-5</v>
      </c>
      <c r="AD14" s="166"/>
      <c r="AE14" s="232">
        <f>N13</f>
        <v>-2</v>
      </c>
      <c r="AF14" s="166"/>
      <c r="AG14" s="245"/>
      <c r="AH14" s="166"/>
      <c r="AI14" s="244"/>
      <c r="AJ14" s="166"/>
      <c r="AK14" s="238">
        <f t="shared" si="2"/>
        <v>-7</v>
      </c>
    </row>
    <row r="15" spans="2:42" ht="15.3" thickBot="1" x14ac:dyDescent="0.55000000000000004">
      <c r="F15" s="167"/>
      <c r="G15" s="167" t="s">
        <v>7</v>
      </c>
      <c r="H15" s="173">
        <v>51</v>
      </c>
      <c r="I15" s="166"/>
      <c r="J15" s="174">
        <f>INDEX(StatBonus,PietyStat)</f>
        <v>1</v>
      </c>
      <c r="K15" s="166"/>
      <c r="L15" s="166">
        <f>GetRaceBonus(SelectedRace,6)</f>
        <v>0</v>
      </c>
      <c r="M15" s="166"/>
      <c r="N15" s="208">
        <f t="shared" si="6"/>
        <v>1</v>
      </c>
      <c r="O15" s="166"/>
      <c r="P15" s="181">
        <f>INDEX(SkillPoints,H15)</f>
        <v>1</v>
      </c>
      <c r="R15" s="166"/>
      <c r="S15" s="167" t="s">
        <v>29</v>
      </c>
      <c r="T15" s="164">
        <f t="shared" si="3"/>
        <v>25</v>
      </c>
      <c r="U15" s="168" t="s">
        <v>75</v>
      </c>
      <c r="V15" s="168">
        <v>0</v>
      </c>
      <c r="W15" s="168">
        <v>0</v>
      </c>
      <c r="X15" s="231">
        <f t="shared" si="7"/>
        <v>0</v>
      </c>
      <c r="Y15" s="166"/>
      <c r="Z15" s="166">
        <v>0</v>
      </c>
      <c r="AA15" s="254" t="str">
        <f t="shared" si="4"/>
        <v>15</v>
      </c>
      <c r="AB15" s="166"/>
      <c r="AC15" s="231">
        <f t="shared" si="5"/>
        <v>-5</v>
      </c>
      <c r="AD15" s="166"/>
      <c r="AE15" s="232">
        <f>(N14+N15)/2</f>
        <v>1</v>
      </c>
      <c r="AF15" s="166"/>
      <c r="AG15" s="166"/>
      <c r="AH15" s="166"/>
      <c r="AI15" s="244"/>
      <c r="AJ15" s="166"/>
      <c r="AK15" s="238">
        <f t="shared" si="2"/>
        <v>-4</v>
      </c>
    </row>
    <row r="16" spans="2:42" ht="15.3" thickBot="1" x14ac:dyDescent="0.55000000000000004">
      <c r="B16" s="26" t="s">
        <v>519</v>
      </c>
      <c r="C16" s="26"/>
      <c r="D16" s="218"/>
      <c r="F16" s="166"/>
      <c r="G16" s="166"/>
      <c r="H16" s="173"/>
      <c r="I16" s="166"/>
      <c r="J16" s="166"/>
      <c r="K16" s="166"/>
      <c r="L16" s="173"/>
      <c r="M16" s="166"/>
      <c r="N16" s="207">
        <f>AVERAGE(N13:N15)</f>
        <v>0</v>
      </c>
      <c r="O16" s="166"/>
      <c r="P16" s="181">
        <f>SUM(P13:P15)</f>
        <v>4</v>
      </c>
      <c r="R16" s="166"/>
      <c r="S16" s="167" t="s">
        <v>30</v>
      </c>
      <c r="T16" s="164">
        <f t="shared" si="3"/>
        <v>26</v>
      </c>
      <c r="U16" s="168" t="s">
        <v>3</v>
      </c>
      <c r="V16" s="168"/>
      <c r="W16" s="168">
        <v>0</v>
      </c>
      <c r="X16" s="231">
        <f t="shared" si="7"/>
        <v>0</v>
      </c>
      <c r="Y16" s="166"/>
      <c r="Z16" s="166"/>
      <c r="AA16" s="254" t="str">
        <f t="shared" si="4"/>
        <v/>
      </c>
      <c r="AB16" s="166"/>
      <c r="AC16" s="231">
        <f t="shared" si="5"/>
        <v>-5</v>
      </c>
      <c r="AD16" s="166"/>
      <c r="AE16" s="232">
        <f>N13</f>
        <v>-2</v>
      </c>
      <c r="AF16" s="166"/>
      <c r="AG16" s="244"/>
      <c r="AH16" s="166"/>
      <c r="AI16" s="244"/>
      <c r="AJ16" s="166"/>
      <c r="AK16" s="238">
        <f t="shared" si="2"/>
        <v>-7</v>
      </c>
    </row>
    <row r="17" spans="2:37" ht="15.3" thickBot="1" x14ac:dyDescent="0.55000000000000004">
      <c r="R17" s="166"/>
      <c r="S17" s="166" t="s">
        <v>49</v>
      </c>
      <c r="T17" s="164">
        <f t="shared" si="3"/>
        <v>27</v>
      </c>
      <c r="U17" s="168" t="s">
        <v>3</v>
      </c>
      <c r="V17" s="168"/>
      <c r="W17" s="168">
        <v>0</v>
      </c>
      <c r="X17" s="231">
        <f t="shared" si="7"/>
        <v>0</v>
      </c>
      <c r="Y17" s="166"/>
      <c r="Z17" s="166"/>
      <c r="AA17" s="254" t="str">
        <f t="shared" si="4"/>
        <v>15</v>
      </c>
      <c r="AB17" s="166"/>
      <c r="AC17" s="231">
        <f t="shared" si="5"/>
        <v>-5</v>
      </c>
      <c r="AD17" s="166"/>
      <c r="AE17" s="232">
        <f>N13</f>
        <v>-2</v>
      </c>
      <c r="AF17" s="166"/>
      <c r="AG17" s="244"/>
      <c r="AH17" s="166"/>
      <c r="AI17" s="245"/>
      <c r="AJ17" s="166"/>
      <c r="AK17" s="238">
        <f>formatstat(SUM(AC17:AI17))</f>
        <v>-7</v>
      </c>
    </row>
    <row r="18" spans="2:37" ht="15.3" thickBot="1" x14ac:dyDescent="0.55000000000000004">
      <c r="B18" s="26" t="s">
        <v>520</v>
      </c>
      <c r="C18" s="26"/>
      <c r="D18" s="218"/>
      <c r="R18" s="166"/>
      <c r="S18" s="166" t="s">
        <v>50</v>
      </c>
      <c r="T18" s="164">
        <f t="shared" si="3"/>
        <v>28</v>
      </c>
      <c r="U18" s="168" t="s">
        <v>4</v>
      </c>
      <c r="V18" s="168"/>
      <c r="W18" s="168">
        <v>0</v>
      </c>
      <c r="X18" s="231">
        <f t="shared" si="7"/>
        <v>0</v>
      </c>
      <c r="Y18" s="166"/>
      <c r="Z18" s="166"/>
      <c r="AA18" s="254" t="str">
        <f t="shared" si="4"/>
        <v>17</v>
      </c>
      <c r="AB18" s="166"/>
      <c r="AC18" s="231">
        <f t="shared" si="5"/>
        <v>-5</v>
      </c>
      <c r="AD18" s="166"/>
      <c r="AE18" s="232">
        <f>N14</f>
        <v>1</v>
      </c>
      <c r="AF18" s="166"/>
      <c r="AG18" s="244"/>
      <c r="AH18" s="166"/>
      <c r="AI18" s="166"/>
      <c r="AJ18" s="166"/>
      <c r="AK18" s="238">
        <f>formatstat(SUM(AC18:AI18))</f>
        <v>-4</v>
      </c>
    </row>
    <row r="19" spans="2:37" ht="15.3" thickBot="1" x14ac:dyDescent="0.55000000000000004">
      <c r="R19" s="166"/>
      <c r="S19" s="167" t="s">
        <v>552</v>
      </c>
      <c r="T19" s="164">
        <f t="shared" si="3"/>
        <v>29</v>
      </c>
      <c r="U19" s="168" t="s">
        <v>497</v>
      </c>
      <c r="V19" s="168"/>
      <c r="W19" s="168">
        <v>0</v>
      </c>
      <c r="X19" s="231">
        <f t="shared" si="7"/>
        <v>0</v>
      </c>
      <c r="Y19" s="166"/>
      <c r="Z19" s="166"/>
      <c r="AA19" s="254" t="str">
        <f t="shared" si="4"/>
        <v/>
      </c>
      <c r="AB19" s="166"/>
      <c r="AC19" s="231">
        <f t="shared" si="5"/>
        <v>-5</v>
      </c>
      <c r="AD19" s="166"/>
      <c r="AE19" s="232">
        <f>N16</f>
        <v>0</v>
      </c>
      <c r="AF19" s="166"/>
      <c r="AG19" s="245"/>
      <c r="AH19" s="166"/>
      <c r="AI19" s="244"/>
      <c r="AJ19" s="166"/>
      <c r="AK19" s="238">
        <f t="shared" si="2"/>
        <v>-5</v>
      </c>
    </row>
    <row r="20" spans="2:37" ht="3.6" customHeight="1" x14ac:dyDescent="0.5">
      <c r="X20" s="227"/>
      <c r="Y20" s="161"/>
      <c r="Z20" s="161"/>
      <c r="AA20" s="251"/>
      <c r="AB20" s="161"/>
      <c r="AC20" s="227"/>
      <c r="AD20" s="161"/>
      <c r="AF20" s="161"/>
      <c r="AG20" s="161"/>
      <c r="AH20" s="161"/>
      <c r="AI20" s="243"/>
      <c r="AJ20" s="161"/>
      <c r="AK20" s="186"/>
    </row>
    <row r="21" spans="2:37" ht="14.4" thickBot="1" x14ac:dyDescent="0.55000000000000004">
      <c r="B21" s="26" t="s">
        <v>521</v>
      </c>
      <c r="C21" s="26"/>
      <c r="D21" s="218"/>
      <c r="F21" s="365" t="s">
        <v>78</v>
      </c>
      <c r="G21" s="365"/>
      <c r="H21" s="258"/>
      <c r="I21" s="258"/>
      <c r="J21" s="259" t="s">
        <v>492</v>
      </c>
      <c r="K21" s="259"/>
      <c r="L21" s="259" t="s">
        <v>489</v>
      </c>
      <c r="M21" s="259"/>
      <c r="N21" s="259" t="s">
        <v>524</v>
      </c>
      <c r="R21" s="367" t="s">
        <v>386</v>
      </c>
      <c r="S21" s="367"/>
      <c r="T21" s="367"/>
      <c r="U21" s="367"/>
      <c r="V21" s="367"/>
      <c r="W21" s="367"/>
      <c r="X21" s="367"/>
      <c r="Y21" s="367"/>
      <c r="Z21" s="367"/>
      <c r="AA21" s="367"/>
      <c r="AB21" s="367"/>
      <c r="AC21" s="367"/>
      <c r="AD21" s="367"/>
      <c r="AE21" s="367"/>
      <c r="AF21" s="367"/>
      <c r="AG21" s="367"/>
      <c r="AH21" s="367"/>
      <c r="AI21" s="367"/>
      <c r="AJ21" s="367"/>
      <c r="AK21" s="367"/>
    </row>
    <row r="22" spans="2:37" ht="15.3" thickBot="1" x14ac:dyDescent="0.55000000000000004">
      <c r="F22" s="169"/>
      <c r="G22" s="212" t="s">
        <v>79</v>
      </c>
      <c r="H22" s="202" t="s">
        <v>527</v>
      </c>
      <c r="I22" s="169"/>
      <c r="J22" s="169">
        <f>INDEX(StatBonus,StrengthStat)</f>
        <v>10</v>
      </c>
      <c r="K22" s="169"/>
      <c r="L22" s="191">
        <f>GetRaceResistanceBonus(SelectedRace,G22)</f>
        <v>2</v>
      </c>
      <c r="M22" s="169"/>
      <c r="N22" s="204">
        <f>J22+L22</f>
        <v>12</v>
      </c>
      <c r="R22" s="170"/>
      <c r="S22" s="213" t="s">
        <v>31</v>
      </c>
      <c r="T22" s="164">
        <f>MATCH(S22,SkillList,)</f>
        <v>32</v>
      </c>
      <c r="U22" s="179" t="s">
        <v>68</v>
      </c>
      <c r="V22" s="179"/>
      <c r="W22" s="179">
        <v>0</v>
      </c>
      <c r="X22" s="235">
        <f>V22+W22</f>
        <v>0</v>
      </c>
      <c r="Y22" s="170"/>
      <c r="Z22" s="170"/>
      <c r="AA22" s="255" t="str">
        <f>GetNextSkillCost(SelectedProfession,S22,V22,T22)</f>
        <v>15</v>
      </c>
      <c r="AB22" s="170"/>
      <c r="AC22" s="235">
        <f>INDEX(SkillLevelBonus,X22+1)</f>
        <v>-5</v>
      </c>
      <c r="AD22" s="170"/>
      <c r="AE22" s="236">
        <f>(N7+N14)/2</f>
        <v>2.5</v>
      </c>
      <c r="AF22" s="170"/>
      <c r="AG22" s="170"/>
      <c r="AH22" s="170"/>
      <c r="AI22" s="247"/>
      <c r="AJ22" s="170"/>
      <c r="AK22" s="239">
        <f t="shared" si="2"/>
        <v>-2</v>
      </c>
    </row>
    <row r="23" spans="2:37" ht="15.3" thickBot="1" x14ac:dyDescent="0.55000000000000004">
      <c r="B23" s="26" t="s">
        <v>522</v>
      </c>
      <c r="C23" s="26"/>
      <c r="D23" s="218"/>
      <c r="F23" s="169"/>
      <c r="G23" s="212" t="s">
        <v>80</v>
      </c>
      <c r="H23" s="202" t="s">
        <v>528</v>
      </c>
      <c r="I23" s="169"/>
      <c r="J23" s="192">
        <f>INDEX(StatBonus,ConstitutionStat)</f>
        <v>4</v>
      </c>
      <c r="K23" s="169"/>
      <c r="L23" s="169">
        <f>GetRaceResistanceBonus(SelectedRace,G23)</f>
        <v>2</v>
      </c>
      <c r="M23" s="169"/>
      <c r="N23" s="205">
        <f t="shared" ref="N23:N26" si="8">J23+L23</f>
        <v>6</v>
      </c>
      <c r="R23" s="170"/>
      <c r="S23" s="213" t="s">
        <v>35</v>
      </c>
      <c r="T23" s="164">
        <f>MATCH(S23,SkillList,)</f>
        <v>33</v>
      </c>
      <c r="U23" s="179" t="s">
        <v>69</v>
      </c>
      <c r="V23" s="179"/>
      <c r="W23" s="179">
        <v>0</v>
      </c>
      <c r="X23" s="235">
        <f t="shared" ref="X23:X26" si="9">V23+W23</f>
        <v>0</v>
      </c>
      <c r="Y23" s="170"/>
      <c r="Z23" s="170"/>
      <c r="AA23" s="255" t="str">
        <f>GetNextSkillCost(SelectedProfession,S23,V23,T23)</f>
        <v>10</v>
      </c>
      <c r="AB23" s="170"/>
      <c r="AC23" s="235">
        <f>INDEX(SkillLevelBonus,X23+1)</f>
        <v>-5</v>
      </c>
      <c r="AD23" s="170"/>
      <c r="AE23" s="236">
        <f>(N7+N13)/2</f>
        <v>1</v>
      </c>
      <c r="AF23" s="170"/>
      <c r="AG23" s="246"/>
      <c r="AH23" s="170"/>
      <c r="AI23" s="170"/>
      <c r="AJ23" s="170"/>
      <c r="AK23" s="239">
        <f t="shared" si="2"/>
        <v>-4</v>
      </c>
    </row>
    <row r="24" spans="2:37" ht="15.3" thickBot="1" x14ac:dyDescent="0.55000000000000004">
      <c r="F24" s="169"/>
      <c r="G24" s="212" t="s">
        <v>81</v>
      </c>
      <c r="H24" s="202" t="s">
        <v>529</v>
      </c>
      <c r="I24" s="169"/>
      <c r="J24" s="203">
        <f>INDEX(StatBonus,IntelligenceStat)</f>
        <v>1</v>
      </c>
      <c r="K24" s="169"/>
      <c r="L24" s="192">
        <f>GetRaceResistanceBonus(SelectedRace,G24)</f>
        <v>-2</v>
      </c>
      <c r="M24" s="169"/>
      <c r="N24" s="205">
        <f t="shared" si="8"/>
        <v>-1</v>
      </c>
      <c r="R24" s="170"/>
      <c r="S24" s="213" t="s">
        <v>36</v>
      </c>
      <c r="T24" s="164">
        <f>MATCH(S24,SkillList,)</f>
        <v>34</v>
      </c>
      <c r="U24" s="179" t="s">
        <v>70</v>
      </c>
      <c r="V24" s="179"/>
      <c r="W24" s="179">
        <v>0</v>
      </c>
      <c r="X24" s="235">
        <f t="shared" si="9"/>
        <v>0</v>
      </c>
      <c r="Y24" s="170"/>
      <c r="Z24" s="170"/>
      <c r="AA24" s="255" t="str">
        <f>GetNextSkillCost(SelectedProfession,S24,V24,T24)</f>
        <v>5</v>
      </c>
      <c r="AB24" s="170"/>
      <c r="AC24" s="235">
        <f>INDEX(SkillLevelBonus,X24+1)</f>
        <v>-5</v>
      </c>
      <c r="AD24" s="170"/>
      <c r="AE24" s="236">
        <f>(N8+N14)/2</f>
        <v>3.5</v>
      </c>
      <c r="AF24" s="170"/>
      <c r="AG24" s="246"/>
      <c r="AH24" s="170"/>
      <c r="AI24" s="246"/>
      <c r="AJ24" s="170"/>
      <c r="AK24" s="239">
        <f t="shared" si="2"/>
        <v>-2</v>
      </c>
    </row>
    <row r="25" spans="2:37" ht="15.3" thickBot="1" x14ac:dyDescent="0.55000000000000004">
      <c r="F25" s="169"/>
      <c r="G25" s="212" t="s">
        <v>53</v>
      </c>
      <c r="H25" s="202" t="s">
        <v>530</v>
      </c>
      <c r="I25" s="169"/>
      <c r="J25" s="169">
        <f>INDEX(StatBonus,PresenceStat)</f>
        <v>2</v>
      </c>
      <c r="K25" s="169"/>
      <c r="L25" s="192">
        <f>GetRaceResistanceBonus(SelectedRace,G25)</f>
        <v>-1</v>
      </c>
      <c r="M25" s="169"/>
      <c r="N25" s="205">
        <f t="shared" si="8"/>
        <v>1</v>
      </c>
      <c r="R25" s="170"/>
      <c r="S25" s="213" t="s">
        <v>37</v>
      </c>
      <c r="T25" s="164">
        <f>MATCH(S25,SkillList,)</f>
        <v>35</v>
      </c>
      <c r="U25" s="179" t="s">
        <v>68</v>
      </c>
      <c r="V25" s="179"/>
      <c r="W25" s="179">
        <v>0</v>
      </c>
      <c r="X25" s="235">
        <f t="shared" si="9"/>
        <v>0</v>
      </c>
      <c r="Y25" s="170"/>
      <c r="Z25" s="170"/>
      <c r="AA25" s="255" t="str">
        <f>GetNextSkillCost(SelectedProfession,S25,V25,T25)</f>
        <v>10</v>
      </c>
      <c r="AB25" s="170"/>
      <c r="AC25" s="235">
        <f>INDEX(SkillLevelBonus,X25+1)</f>
        <v>-5</v>
      </c>
      <c r="AD25" s="170"/>
      <c r="AE25" s="236">
        <f>(N7+N14)/2</f>
        <v>2.5</v>
      </c>
      <c r="AF25" s="170"/>
      <c r="AG25" s="246"/>
      <c r="AH25" s="170"/>
      <c r="AI25" s="246"/>
      <c r="AJ25" s="170"/>
      <c r="AK25" s="239">
        <f t="shared" si="2"/>
        <v>-2</v>
      </c>
    </row>
    <row r="26" spans="2:37" ht="15.3" thickBot="1" x14ac:dyDescent="0.55000000000000004">
      <c r="F26" s="169"/>
      <c r="G26" s="212" t="s">
        <v>82</v>
      </c>
      <c r="H26" s="202" t="s">
        <v>531</v>
      </c>
      <c r="I26" s="169"/>
      <c r="J26" s="192">
        <f>INDEX(StatBonus,PietyStat)</f>
        <v>1</v>
      </c>
      <c r="K26" s="169"/>
      <c r="L26" s="192">
        <f>GetRaceResistanceBonus(SelectedRace,G26)</f>
        <v>0</v>
      </c>
      <c r="M26" s="169"/>
      <c r="N26" s="169">
        <f t="shared" si="8"/>
        <v>1</v>
      </c>
      <c r="R26" s="170"/>
      <c r="S26" s="213" t="s">
        <v>553</v>
      </c>
      <c r="T26" s="164">
        <f>MATCH(S26,SkillList,)</f>
        <v>36</v>
      </c>
      <c r="U26" s="179" t="s">
        <v>71</v>
      </c>
      <c r="V26" s="179"/>
      <c r="W26" s="179">
        <v>0</v>
      </c>
      <c r="X26" s="235">
        <f t="shared" si="9"/>
        <v>0</v>
      </c>
      <c r="Y26" s="170"/>
      <c r="Z26" s="170"/>
      <c r="AA26" s="255" t="str">
        <f>GetNextSkillCost(SelectedProfession,S26,V26,T26)</f>
        <v/>
      </c>
      <c r="AB26" s="170"/>
      <c r="AC26" s="235">
        <f>INDEX(SkillLevelBonus,X26+1)</f>
        <v>-5</v>
      </c>
      <c r="AD26" s="170"/>
      <c r="AE26" s="236">
        <f>(N9+N16)/2</f>
        <v>3.8333333333333335</v>
      </c>
      <c r="AF26" s="170"/>
      <c r="AG26" s="248"/>
      <c r="AH26" s="170"/>
      <c r="AI26" s="248"/>
      <c r="AJ26" s="170"/>
      <c r="AK26" s="239">
        <f t="shared" si="2"/>
        <v>-1</v>
      </c>
    </row>
    <row r="27" spans="2:37" ht="3.6" customHeight="1" x14ac:dyDescent="0.5">
      <c r="J27" s="155"/>
      <c r="L27" s="155"/>
      <c r="N27" s="206"/>
    </row>
    <row r="28" spans="2:37" ht="14.4" thickBot="1" x14ac:dyDescent="0.55000000000000004">
      <c r="R28" s="366" t="s">
        <v>38</v>
      </c>
      <c r="S28" s="366"/>
      <c r="T28" s="366"/>
      <c r="U28" s="366"/>
      <c r="V28" s="366"/>
      <c r="W28" s="366"/>
      <c r="X28" s="366"/>
      <c r="Y28" s="366"/>
      <c r="Z28" s="366"/>
      <c r="AA28" s="366"/>
      <c r="AB28" s="366"/>
      <c r="AC28" s="366"/>
      <c r="AD28" s="366"/>
      <c r="AE28" s="366"/>
      <c r="AF28" s="366"/>
      <c r="AG28" s="366"/>
      <c r="AH28" s="366"/>
      <c r="AI28" s="366"/>
      <c r="AJ28" s="366"/>
      <c r="AK28" s="366"/>
    </row>
    <row r="29" spans="2:37" ht="15.3" thickBot="1" x14ac:dyDescent="0.55000000000000004">
      <c r="R29" s="188"/>
      <c r="S29" s="214" t="s">
        <v>508</v>
      </c>
      <c r="T29" s="164">
        <f t="shared" ref="T29:T36" si="10">MATCH(S29,SkillList,)</f>
        <v>39</v>
      </c>
      <c r="U29" s="189" t="s">
        <v>1</v>
      </c>
      <c r="V29" s="189">
        <v>0</v>
      </c>
      <c r="W29" s="189">
        <v>0</v>
      </c>
      <c r="X29" s="233">
        <f>V29+W29</f>
        <v>0</v>
      </c>
      <c r="Y29" s="163"/>
      <c r="Z29" s="163">
        <v>0</v>
      </c>
      <c r="AA29" s="253" t="str">
        <f t="shared" ref="AA29:AA36" si="11">GetNextSkillCost(SelectedProfession,S29,V29,T29)</f>
        <v>1</v>
      </c>
      <c r="AB29" s="163"/>
      <c r="AC29" s="233">
        <f t="shared" ref="AC29:AC36" si="12">INDEX(SkillLevelBonus,X29+1)</f>
        <v>-5</v>
      </c>
      <c r="AD29" s="163"/>
      <c r="AE29" s="234">
        <f>AgilityBonus</f>
        <v>4</v>
      </c>
      <c r="AF29" s="163"/>
      <c r="AG29" s="241"/>
      <c r="AH29" s="163"/>
      <c r="AI29" s="241"/>
      <c r="AJ29" s="163"/>
      <c r="AK29" s="249">
        <f t="shared" ref="AK29:AK36" si="13">formatstat(SUM(AC29:AI29))</f>
        <v>-1</v>
      </c>
    </row>
    <row r="30" spans="2:37" ht="15.3" thickBot="1" x14ac:dyDescent="0.55000000000000004">
      <c r="R30" s="188"/>
      <c r="S30" s="214" t="s">
        <v>275</v>
      </c>
      <c r="T30" s="164">
        <f t="shared" si="10"/>
        <v>40</v>
      </c>
      <c r="U30" s="189" t="s">
        <v>1</v>
      </c>
      <c r="V30" s="189">
        <v>0</v>
      </c>
      <c r="W30" s="189">
        <v>0</v>
      </c>
      <c r="X30" s="233">
        <f t="shared" ref="X30:X36" si="14">V30+W30</f>
        <v>0</v>
      </c>
      <c r="Y30" s="163"/>
      <c r="Z30" s="163">
        <v>0</v>
      </c>
      <c r="AA30" s="253" t="str">
        <f t="shared" si="11"/>
        <v>1</v>
      </c>
      <c r="AB30" s="163"/>
      <c r="AC30" s="233">
        <f t="shared" si="12"/>
        <v>-5</v>
      </c>
      <c r="AD30" s="163"/>
      <c r="AE30" s="234">
        <f>AgilityBonus</f>
        <v>4</v>
      </c>
      <c r="AF30" s="163"/>
      <c r="AG30" s="163"/>
      <c r="AH30" s="163"/>
      <c r="AI30" s="163"/>
      <c r="AJ30" s="163"/>
      <c r="AK30" s="249">
        <f t="shared" si="13"/>
        <v>-1</v>
      </c>
    </row>
    <row r="31" spans="2:37" ht="15.3" thickBot="1" x14ac:dyDescent="0.55000000000000004">
      <c r="R31" s="188"/>
      <c r="S31" s="214" t="s">
        <v>42</v>
      </c>
      <c r="T31" s="164">
        <f t="shared" si="10"/>
        <v>41</v>
      </c>
      <c r="U31" s="189" t="s">
        <v>72</v>
      </c>
      <c r="V31" s="189"/>
      <c r="W31" s="189">
        <v>0</v>
      </c>
      <c r="X31" s="233">
        <f t="shared" si="14"/>
        <v>0</v>
      </c>
      <c r="Y31" s="163"/>
      <c r="Z31" s="163"/>
      <c r="AA31" s="253" t="str">
        <f t="shared" si="11"/>
        <v>2</v>
      </c>
      <c r="AB31" s="163"/>
      <c r="AC31" s="233">
        <f t="shared" si="12"/>
        <v>-5</v>
      </c>
      <c r="AD31" s="163"/>
      <c r="AE31" s="234">
        <f>AVERAGE(AgilityBonus,StrengthBonus)</f>
        <v>8.5</v>
      </c>
      <c r="AF31" s="163"/>
      <c r="AG31" s="240"/>
      <c r="AH31" s="163"/>
      <c r="AI31" s="242"/>
      <c r="AJ31" s="163"/>
      <c r="AK31" s="237">
        <f t="shared" si="13"/>
        <v>4</v>
      </c>
    </row>
    <row r="32" spans="2:37" ht="15.3" thickBot="1" x14ac:dyDescent="0.55000000000000004">
      <c r="R32" s="188"/>
      <c r="S32" s="214" t="s">
        <v>43</v>
      </c>
      <c r="T32" s="164">
        <f t="shared" si="10"/>
        <v>42</v>
      </c>
      <c r="U32" s="189" t="s">
        <v>73</v>
      </c>
      <c r="V32" s="189">
        <v>0</v>
      </c>
      <c r="W32" s="189">
        <v>1</v>
      </c>
      <c r="X32" s="233">
        <f t="shared" si="14"/>
        <v>1</v>
      </c>
      <c r="Y32" s="163"/>
      <c r="Z32" s="163">
        <v>0</v>
      </c>
      <c r="AA32" s="253" t="str">
        <f t="shared" si="11"/>
        <v>4</v>
      </c>
      <c r="AB32" s="163"/>
      <c r="AC32" s="233">
        <f t="shared" si="12"/>
        <v>5</v>
      </c>
      <c r="AD32" s="163"/>
      <c r="AE32" s="234">
        <f>AVERAGE(AgilityBonus,ConstitutionBonus)</f>
        <v>5</v>
      </c>
      <c r="AF32" s="163"/>
      <c r="AG32" s="240"/>
      <c r="AH32" s="163"/>
      <c r="AI32" s="163"/>
      <c r="AJ32" s="163"/>
      <c r="AK32" s="237">
        <f t="shared" si="13"/>
        <v>10</v>
      </c>
    </row>
    <row r="33" spans="18:37" ht="15.3" thickBot="1" x14ac:dyDescent="0.55000000000000004">
      <c r="R33" s="188"/>
      <c r="S33" s="214" t="s">
        <v>44</v>
      </c>
      <c r="T33" s="164">
        <f t="shared" si="10"/>
        <v>43</v>
      </c>
      <c r="U33" s="189" t="s">
        <v>0</v>
      </c>
      <c r="V33" s="189"/>
      <c r="W33" s="189">
        <v>2</v>
      </c>
      <c r="X33" s="233">
        <f t="shared" si="14"/>
        <v>2</v>
      </c>
      <c r="Y33" s="163"/>
      <c r="Z33" s="163"/>
      <c r="AA33" s="253" t="str">
        <f t="shared" si="11"/>
        <v>-</v>
      </c>
      <c r="AB33" s="163"/>
      <c r="AC33" s="233">
        <f t="shared" si="12"/>
        <v>10</v>
      </c>
      <c r="AD33" s="163"/>
      <c r="AE33" s="234">
        <f>StrengthBonus</f>
        <v>13</v>
      </c>
      <c r="AF33" s="163"/>
      <c r="AG33" s="240"/>
      <c r="AH33" s="163"/>
      <c r="AI33" s="242"/>
      <c r="AJ33" s="163"/>
      <c r="AK33" s="237">
        <f t="shared" si="13"/>
        <v>23</v>
      </c>
    </row>
    <row r="34" spans="18:37" ht="15.3" thickBot="1" x14ac:dyDescent="0.55000000000000004">
      <c r="R34" s="188"/>
      <c r="S34" s="214" t="s">
        <v>45</v>
      </c>
      <c r="T34" s="164">
        <f t="shared" si="10"/>
        <v>44</v>
      </c>
      <c r="U34" s="189" t="s">
        <v>74</v>
      </c>
      <c r="V34" s="189"/>
      <c r="W34" s="189">
        <v>0</v>
      </c>
      <c r="X34" s="233">
        <f t="shared" si="14"/>
        <v>0</v>
      </c>
      <c r="Y34" s="163"/>
      <c r="Z34" s="163"/>
      <c r="AA34" s="253" t="str">
        <f t="shared" si="11"/>
        <v>1</v>
      </c>
      <c r="AB34" s="163"/>
      <c r="AC34" s="233">
        <f t="shared" si="12"/>
        <v>-5</v>
      </c>
      <c r="AD34" s="163"/>
      <c r="AE34" s="234">
        <f>AVERAGE(StrengthBonus,ConstitutionBonus)</f>
        <v>9.5</v>
      </c>
      <c r="AF34" s="163"/>
      <c r="AG34" s="240"/>
      <c r="AH34" s="163"/>
      <c r="AI34" s="163"/>
      <c r="AJ34" s="163"/>
      <c r="AK34" s="237">
        <f t="shared" si="13"/>
        <v>4</v>
      </c>
    </row>
    <row r="35" spans="18:37" ht="15.3" thickBot="1" x14ac:dyDescent="0.55000000000000004">
      <c r="R35" s="188"/>
      <c r="S35" s="214" t="s">
        <v>46</v>
      </c>
      <c r="T35" s="164">
        <f t="shared" si="10"/>
        <v>45</v>
      </c>
      <c r="U35" s="189" t="s">
        <v>0</v>
      </c>
      <c r="V35" s="189"/>
      <c r="W35" s="189">
        <v>1</v>
      </c>
      <c r="X35" s="233">
        <f t="shared" si="14"/>
        <v>1</v>
      </c>
      <c r="Y35" s="163"/>
      <c r="Z35" s="163"/>
      <c r="AA35" s="253" t="str">
        <f t="shared" si="11"/>
        <v>-</v>
      </c>
      <c r="AB35" s="163"/>
      <c r="AC35" s="233">
        <f t="shared" si="12"/>
        <v>5</v>
      </c>
      <c r="AD35" s="163"/>
      <c r="AE35" s="234">
        <f>StrengthBonus</f>
        <v>13</v>
      </c>
      <c r="AF35" s="163"/>
      <c r="AG35" s="240"/>
      <c r="AH35" s="163"/>
      <c r="AI35" s="240"/>
      <c r="AJ35" s="163"/>
      <c r="AK35" s="237">
        <f t="shared" si="13"/>
        <v>18</v>
      </c>
    </row>
    <row r="36" spans="18:37" ht="15.3" thickBot="1" x14ac:dyDescent="0.55000000000000004">
      <c r="R36" s="188"/>
      <c r="S36" s="214" t="s">
        <v>47</v>
      </c>
      <c r="T36" s="164">
        <f t="shared" si="10"/>
        <v>46</v>
      </c>
      <c r="U36" s="189" t="s">
        <v>0</v>
      </c>
      <c r="V36" s="189"/>
      <c r="W36" s="189">
        <v>0</v>
      </c>
      <c r="X36" s="233">
        <f t="shared" si="14"/>
        <v>0</v>
      </c>
      <c r="Y36" s="163"/>
      <c r="Z36" s="163"/>
      <c r="AA36" s="253" t="str">
        <f t="shared" si="11"/>
        <v/>
      </c>
      <c r="AB36" s="163"/>
      <c r="AC36" s="233">
        <f t="shared" si="12"/>
        <v>-5</v>
      </c>
      <c r="AD36" s="163"/>
      <c r="AE36" s="234">
        <f>StrengthBonus</f>
        <v>13</v>
      </c>
      <c r="AF36" s="163"/>
      <c r="AG36" s="240"/>
      <c r="AH36" s="163"/>
      <c r="AI36" s="240"/>
      <c r="AJ36" s="163"/>
      <c r="AK36" s="237">
        <f t="shared" si="13"/>
        <v>8</v>
      </c>
    </row>
    <row r="37" spans="18:37" ht="3.6" customHeight="1" x14ac:dyDescent="0.5">
      <c r="AA37" s="256"/>
      <c r="AG37" s="243"/>
      <c r="AI37" s="243"/>
      <c r="AK37" s="186"/>
    </row>
    <row r="38" spans="18:37" ht="14.4" thickBot="1" x14ac:dyDescent="0.55000000000000004">
      <c r="R38" s="366" t="s">
        <v>507</v>
      </c>
      <c r="S38" s="366"/>
      <c r="T38" s="366"/>
      <c r="U38" s="366"/>
      <c r="V38" s="366"/>
      <c r="W38" s="366"/>
      <c r="X38" s="366"/>
      <c r="Y38" s="366"/>
      <c r="Z38" s="366"/>
      <c r="AA38" s="366"/>
      <c r="AB38" s="366"/>
      <c r="AC38" s="366"/>
      <c r="AD38" s="366"/>
      <c r="AE38" s="366"/>
      <c r="AF38" s="366"/>
      <c r="AG38" s="366"/>
      <c r="AH38" s="366"/>
      <c r="AI38" s="366"/>
      <c r="AJ38" s="366"/>
      <c r="AK38" s="366"/>
    </row>
    <row r="39" spans="18:37" ht="15.3" thickBot="1" x14ac:dyDescent="0.55000000000000004">
      <c r="R39" s="163"/>
      <c r="S39" s="214" t="s">
        <v>509</v>
      </c>
      <c r="T39" s="164">
        <f t="shared" ref="T39:T44" si="15">MATCH(S39,SkillList,)</f>
        <v>3</v>
      </c>
      <c r="U39" s="189" t="s">
        <v>0</v>
      </c>
      <c r="V39" s="189">
        <v>0</v>
      </c>
      <c r="W39" s="189">
        <v>4</v>
      </c>
      <c r="X39" s="233">
        <f>V39+W39</f>
        <v>4</v>
      </c>
      <c r="Y39" s="163"/>
      <c r="Z39" s="163">
        <v>0</v>
      </c>
      <c r="AA39" s="253" t="str">
        <f t="shared" ref="AA39:AA44" si="16">GetNextSkillCost(SelectedProfession,S39,V39,T39)</f>
        <v>2</v>
      </c>
      <c r="AB39" s="163"/>
      <c r="AC39" s="233">
        <f t="shared" ref="AC39:AC44" si="17">INDEX(SkillLevelBonus,X39+1)</f>
        <v>19</v>
      </c>
      <c r="AD39" s="163"/>
      <c r="AE39" s="234">
        <f>StrengthBonus</f>
        <v>13</v>
      </c>
      <c r="AF39" s="163"/>
      <c r="AG39" s="241"/>
      <c r="AH39" s="163"/>
      <c r="AI39" s="241"/>
      <c r="AJ39" s="163"/>
      <c r="AK39" s="237">
        <f t="shared" ref="AK39:AK44" si="18">formatstat(SUM(AC39:AI39))</f>
        <v>32</v>
      </c>
    </row>
    <row r="40" spans="18:37" ht="15.3" thickBot="1" x14ac:dyDescent="0.55000000000000004">
      <c r="R40" s="163"/>
      <c r="S40" s="214" t="s">
        <v>510</v>
      </c>
      <c r="T40" s="164">
        <f t="shared" si="15"/>
        <v>4</v>
      </c>
      <c r="U40" s="189" t="s">
        <v>1</v>
      </c>
      <c r="V40" s="189"/>
      <c r="W40" s="189">
        <v>3</v>
      </c>
      <c r="X40" s="233">
        <f t="shared" ref="X40:X44" si="19">V40+W40</f>
        <v>3</v>
      </c>
      <c r="Y40" s="163"/>
      <c r="Z40" s="163"/>
      <c r="AA40" s="253" t="str">
        <f t="shared" si="16"/>
        <v/>
      </c>
      <c r="AB40" s="163"/>
      <c r="AC40" s="233">
        <f t="shared" si="17"/>
        <v>15</v>
      </c>
      <c r="AD40" s="163"/>
      <c r="AE40" s="234">
        <f>AgilityBonus</f>
        <v>4</v>
      </c>
      <c r="AF40" s="163"/>
      <c r="AG40" s="163"/>
      <c r="AH40" s="163"/>
      <c r="AI40" s="242"/>
      <c r="AJ40" s="163"/>
      <c r="AK40" s="237">
        <f t="shared" si="18"/>
        <v>19</v>
      </c>
    </row>
    <row r="41" spans="18:37" ht="15.3" thickBot="1" x14ac:dyDescent="0.55000000000000004">
      <c r="R41" s="163"/>
      <c r="S41" s="214" t="s">
        <v>511</v>
      </c>
      <c r="T41" s="164">
        <f t="shared" si="15"/>
        <v>6</v>
      </c>
      <c r="U41" s="189" t="s">
        <v>0</v>
      </c>
      <c r="V41" s="189"/>
      <c r="W41" s="189">
        <v>3</v>
      </c>
      <c r="X41" s="233">
        <f t="shared" si="19"/>
        <v>3</v>
      </c>
      <c r="Y41" s="163"/>
      <c r="Z41" s="163"/>
      <c r="AA41" s="253" t="str">
        <f t="shared" si="16"/>
        <v>4</v>
      </c>
      <c r="AB41" s="163"/>
      <c r="AC41" s="233">
        <f t="shared" si="17"/>
        <v>15</v>
      </c>
      <c r="AD41" s="163"/>
      <c r="AE41" s="234">
        <f>StrengthBonus</f>
        <v>13</v>
      </c>
      <c r="AF41" s="163"/>
      <c r="AG41" s="240"/>
      <c r="AH41" s="163"/>
      <c r="AI41" s="242"/>
      <c r="AJ41" s="163"/>
      <c r="AK41" s="237">
        <f t="shared" si="18"/>
        <v>28</v>
      </c>
    </row>
    <row r="42" spans="18:37" ht="15.3" thickBot="1" x14ac:dyDescent="0.55000000000000004">
      <c r="R42" s="163"/>
      <c r="S42" s="214" t="s">
        <v>512</v>
      </c>
      <c r="T42" s="164">
        <f t="shared" si="15"/>
        <v>7</v>
      </c>
      <c r="U42" s="189" t="s">
        <v>1</v>
      </c>
      <c r="V42" s="189"/>
      <c r="W42" s="189">
        <v>0</v>
      </c>
      <c r="X42" s="233">
        <f t="shared" si="19"/>
        <v>0</v>
      </c>
      <c r="Y42" s="163"/>
      <c r="Z42" s="163"/>
      <c r="AA42" s="253" t="str">
        <f t="shared" si="16"/>
        <v/>
      </c>
      <c r="AB42" s="163"/>
      <c r="AC42" s="233">
        <f t="shared" si="17"/>
        <v>-5</v>
      </c>
      <c r="AD42" s="163"/>
      <c r="AE42" s="234">
        <f>AgilityBonus</f>
        <v>4</v>
      </c>
      <c r="AF42" s="163"/>
      <c r="AG42" s="242"/>
      <c r="AH42" s="163"/>
      <c r="AI42" s="242"/>
      <c r="AJ42" s="163"/>
      <c r="AK42" s="249">
        <f t="shared" si="18"/>
        <v>-1</v>
      </c>
    </row>
    <row r="43" spans="18:37" ht="15.3" thickBot="1" x14ac:dyDescent="0.55000000000000004">
      <c r="R43" s="163"/>
      <c r="S43" s="214" t="s">
        <v>513</v>
      </c>
      <c r="T43" s="164">
        <f t="shared" si="15"/>
        <v>9</v>
      </c>
      <c r="U43" s="189" t="s">
        <v>0</v>
      </c>
      <c r="V43" s="189">
        <v>0</v>
      </c>
      <c r="W43" s="189">
        <v>0</v>
      </c>
      <c r="X43" s="233">
        <f t="shared" si="19"/>
        <v>0</v>
      </c>
      <c r="Y43" s="163"/>
      <c r="Z43" s="163">
        <v>0</v>
      </c>
      <c r="AA43" s="253" t="str">
        <f t="shared" si="16"/>
        <v>9</v>
      </c>
      <c r="AB43" s="163"/>
      <c r="AC43" s="233">
        <f t="shared" si="17"/>
        <v>-5</v>
      </c>
      <c r="AD43" s="163"/>
      <c r="AE43" s="234">
        <f>StrengthBonus</f>
        <v>13</v>
      </c>
      <c r="AF43" s="163"/>
      <c r="AG43" s="242"/>
      <c r="AH43" s="163"/>
      <c r="AI43" s="242"/>
      <c r="AJ43" s="163"/>
      <c r="AK43" s="237">
        <f t="shared" si="18"/>
        <v>8</v>
      </c>
    </row>
    <row r="44" spans="18:37" ht="15.3" thickBot="1" x14ac:dyDescent="0.55000000000000004">
      <c r="R44" s="163"/>
      <c r="S44" s="214" t="s">
        <v>514</v>
      </c>
      <c r="T44" s="164">
        <f t="shared" si="15"/>
        <v>10</v>
      </c>
      <c r="U44" s="189" t="s">
        <v>1</v>
      </c>
      <c r="V44" s="189"/>
      <c r="W44" s="189">
        <v>0</v>
      </c>
      <c r="X44" s="233">
        <f t="shared" si="19"/>
        <v>0</v>
      </c>
      <c r="Y44" s="163"/>
      <c r="Z44" s="163"/>
      <c r="AA44" s="253" t="str">
        <f t="shared" si="16"/>
        <v/>
      </c>
      <c r="AB44" s="163"/>
      <c r="AC44" s="233">
        <f t="shared" si="17"/>
        <v>-5</v>
      </c>
      <c r="AD44" s="163"/>
      <c r="AE44" s="234">
        <f>AgilityBonus</f>
        <v>4</v>
      </c>
      <c r="AF44" s="163"/>
      <c r="AG44" s="163"/>
      <c r="AH44" s="163"/>
      <c r="AI44" s="242"/>
      <c r="AJ44" s="163"/>
      <c r="AK44" s="249">
        <f t="shared" si="18"/>
        <v>-1</v>
      </c>
    </row>
    <row r="45" spans="18:37" ht="3.6" customHeight="1" x14ac:dyDescent="0.5">
      <c r="AA45" s="256"/>
      <c r="AG45" s="243"/>
      <c r="AK45" s="186"/>
    </row>
    <row r="46" spans="18:37" ht="14.4" thickBot="1" x14ac:dyDescent="0.55000000000000004">
      <c r="R46" s="363" t="s">
        <v>515</v>
      </c>
      <c r="S46" s="363"/>
      <c r="T46" s="363"/>
      <c r="U46" s="363"/>
      <c r="V46" s="363"/>
      <c r="W46" s="363"/>
      <c r="X46" s="363"/>
      <c r="Y46" s="363"/>
      <c r="Z46" s="363"/>
      <c r="AA46" s="363"/>
      <c r="AB46" s="363"/>
      <c r="AC46" s="363"/>
      <c r="AD46" s="363"/>
      <c r="AE46" s="363"/>
      <c r="AF46" s="363"/>
      <c r="AG46" s="363"/>
      <c r="AH46" s="363"/>
      <c r="AI46" s="363"/>
      <c r="AJ46" s="363"/>
      <c r="AK46" s="363"/>
    </row>
    <row r="47" spans="18:37" ht="15.3" thickBot="1" x14ac:dyDescent="0.55000000000000004">
      <c r="R47" s="166"/>
      <c r="S47" s="215" t="s">
        <v>51</v>
      </c>
      <c r="T47" s="164">
        <f t="shared" ref="T47:T52" si="20">MATCH(S47,SkillList,)</f>
        <v>49</v>
      </c>
      <c r="U47" s="187" t="s">
        <v>3</v>
      </c>
      <c r="V47" s="187"/>
      <c r="W47" s="187">
        <v>0</v>
      </c>
      <c r="X47" s="231">
        <f>V47+W47</f>
        <v>0</v>
      </c>
      <c r="Y47" s="166"/>
      <c r="Z47" s="166"/>
      <c r="AA47" s="254" t="str">
        <f t="shared" ref="AA47:AA52" si="21">GetNextSkillCost(SelectedProfession,S47,V47,T47)</f>
        <v>-</v>
      </c>
      <c r="AB47" s="166"/>
      <c r="AC47" s="231">
        <f t="shared" ref="AC47:AC52" si="22">INDEX(SkillLevelBonus,X47+1)</f>
        <v>-5</v>
      </c>
      <c r="AD47" s="166"/>
      <c r="AE47" s="232">
        <f>IntelligenceBonus</f>
        <v>-2</v>
      </c>
      <c r="AF47" s="166"/>
      <c r="AG47" s="250"/>
      <c r="AH47" s="166"/>
      <c r="AI47" s="250"/>
      <c r="AJ47" s="166"/>
      <c r="AK47" s="238">
        <f t="shared" ref="AK47" si="23">formatstat(SUM(AC47:AI47))</f>
        <v>-7</v>
      </c>
    </row>
    <row r="48" spans="18:37" ht="15.3" thickBot="1" x14ac:dyDescent="0.55000000000000004">
      <c r="R48" s="166"/>
      <c r="S48" s="215" t="s">
        <v>53</v>
      </c>
      <c r="T48" s="164">
        <f t="shared" si="20"/>
        <v>50</v>
      </c>
      <c r="U48" s="187" t="s">
        <v>4</v>
      </c>
      <c r="V48" s="187"/>
      <c r="W48" s="187">
        <v>0</v>
      </c>
      <c r="X48" s="231">
        <f t="shared" ref="X48:X52" si="24">V48+W48</f>
        <v>0</v>
      </c>
      <c r="Y48" s="166"/>
      <c r="Z48" s="166"/>
      <c r="AA48" s="254" t="str">
        <f t="shared" si="21"/>
        <v>-</v>
      </c>
      <c r="AB48" s="166"/>
      <c r="AC48" s="231">
        <f t="shared" si="22"/>
        <v>-5</v>
      </c>
      <c r="AD48" s="166"/>
      <c r="AE48" s="232">
        <f>PresenceBonus</f>
        <v>1</v>
      </c>
      <c r="AF48" s="166"/>
      <c r="AG48" s="245"/>
      <c r="AH48" s="166"/>
      <c r="AI48" s="245"/>
      <c r="AJ48" s="166"/>
      <c r="AK48" s="238">
        <f t="shared" ref="AK48:AK52" si="25">formatstat(SUM(AC48:AI48))</f>
        <v>-4</v>
      </c>
    </row>
    <row r="49" spans="6:37" ht="15.3" thickBot="1" x14ac:dyDescent="0.55000000000000004">
      <c r="F49" s="364" t="s">
        <v>523</v>
      </c>
      <c r="G49" s="364"/>
      <c r="H49" s="260"/>
      <c r="I49" s="194"/>
      <c r="J49" s="194"/>
      <c r="K49" s="194"/>
      <c r="L49" s="194"/>
      <c r="M49" s="194"/>
      <c r="N49" s="194"/>
      <c r="O49" s="194"/>
      <c r="P49" s="195"/>
      <c r="R49" s="166"/>
      <c r="S49" s="215" t="s">
        <v>52</v>
      </c>
      <c r="T49" s="164">
        <f t="shared" si="20"/>
        <v>51</v>
      </c>
      <c r="U49" s="187" t="s">
        <v>7</v>
      </c>
      <c r="V49" s="187"/>
      <c r="W49" s="187">
        <v>0</v>
      </c>
      <c r="X49" s="231">
        <f t="shared" si="24"/>
        <v>0</v>
      </c>
      <c r="Y49" s="166"/>
      <c r="Z49" s="166"/>
      <c r="AA49" s="254" t="str">
        <f t="shared" si="21"/>
        <v>-</v>
      </c>
      <c r="AB49" s="166"/>
      <c r="AC49" s="231">
        <f t="shared" si="22"/>
        <v>-5</v>
      </c>
      <c r="AD49" s="166"/>
      <c r="AE49" s="232">
        <f>PietyBonus</f>
        <v>1</v>
      </c>
      <c r="AF49" s="166"/>
      <c r="AG49" s="245"/>
      <c r="AH49" s="166"/>
      <c r="AI49" s="245"/>
      <c r="AJ49" s="166"/>
      <c r="AK49" s="238">
        <f t="shared" si="25"/>
        <v>-4</v>
      </c>
    </row>
    <row r="50" spans="6:37" ht="15.3" thickBot="1" x14ac:dyDescent="0.55000000000000004">
      <c r="F50" s="196"/>
      <c r="G50" s="216" t="s">
        <v>526</v>
      </c>
      <c r="H50" s="197">
        <v>77</v>
      </c>
      <c r="I50" s="197"/>
      <c r="J50" s="197"/>
      <c r="K50" s="197"/>
      <c r="L50" s="197"/>
      <c r="M50" s="197"/>
      <c r="N50" s="197"/>
      <c r="O50" s="197"/>
      <c r="P50" s="198"/>
      <c r="R50" s="166"/>
      <c r="S50" s="215" t="s">
        <v>147</v>
      </c>
      <c r="T50" s="164">
        <f t="shared" si="20"/>
        <v>53</v>
      </c>
      <c r="U50" s="187" t="s">
        <v>7</v>
      </c>
      <c r="V50" s="187"/>
      <c r="W50" s="187">
        <v>0</v>
      </c>
      <c r="X50" s="231">
        <f t="shared" si="24"/>
        <v>0</v>
      </c>
      <c r="Y50" s="166"/>
      <c r="Z50" s="166"/>
      <c r="AA50" s="254" t="str">
        <f t="shared" si="21"/>
        <v>-</v>
      </c>
      <c r="AB50" s="166"/>
      <c r="AC50" s="231">
        <f t="shared" si="22"/>
        <v>-5</v>
      </c>
      <c r="AD50" s="166"/>
      <c r="AE50" s="232">
        <f>PietyBonus</f>
        <v>1</v>
      </c>
      <c r="AF50" s="166"/>
      <c r="AG50" s="245"/>
      <c r="AH50" s="166"/>
      <c r="AI50" s="245"/>
      <c r="AJ50" s="166"/>
      <c r="AK50" s="238">
        <f t="shared" si="25"/>
        <v>-4</v>
      </c>
    </row>
    <row r="51" spans="6:37" ht="15.3" thickBot="1" x14ac:dyDescent="0.55000000000000004">
      <c r="F51" s="196"/>
      <c r="G51" s="216" t="s">
        <v>524</v>
      </c>
      <c r="H51" s="197">
        <f>RolledTotal+400</f>
        <v>477</v>
      </c>
      <c r="I51" s="197"/>
      <c r="J51" s="197"/>
      <c r="K51" s="197"/>
      <c r="L51" s="197"/>
      <c r="M51" s="197"/>
      <c r="N51" s="197"/>
      <c r="O51" s="197"/>
      <c r="P51" s="198"/>
      <c r="R51" s="166"/>
      <c r="S51" s="215" t="s">
        <v>146</v>
      </c>
      <c r="T51" s="164">
        <f t="shared" si="20"/>
        <v>52</v>
      </c>
      <c r="U51" s="187" t="s">
        <v>3</v>
      </c>
      <c r="V51" s="187"/>
      <c r="W51" s="187">
        <v>0</v>
      </c>
      <c r="X51" s="231">
        <f t="shared" si="24"/>
        <v>0</v>
      </c>
      <c r="Y51" s="166"/>
      <c r="Z51" s="166"/>
      <c r="AA51" s="254" t="str">
        <f t="shared" si="21"/>
        <v>-</v>
      </c>
      <c r="AB51" s="166"/>
      <c r="AC51" s="231">
        <f t="shared" si="22"/>
        <v>-5</v>
      </c>
      <c r="AD51" s="166"/>
      <c r="AE51" s="232">
        <f>IntelligenceBonus</f>
        <v>-2</v>
      </c>
      <c r="AF51" s="166"/>
      <c r="AG51" s="166"/>
      <c r="AH51" s="166"/>
      <c r="AI51" s="166"/>
      <c r="AJ51" s="166"/>
      <c r="AK51" s="238">
        <f t="shared" si="25"/>
        <v>-7</v>
      </c>
    </row>
    <row r="52" spans="6:37" ht="15.3" thickBot="1" x14ac:dyDescent="0.55000000000000004">
      <c r="F52" s="199"/>
      <c r="G52" s="217" t="s">
        <v>525</v>
      </c>
      <c r="H52" s="200">
        <f>H51-SUM(H6:H8)-SUM(H13:H15)</f>
        <v>0</v>
      </c>
      <c r="I52" s="200"/>
      <c r="J52" s="200"/>
      <c r="K52" s="200"/>
      <c r="L52" s="200"/>
      <c r="M52" s="200"/>
      <c r="N52" s="200"/>
      <c r="O52" s="200"/>
      <c r="P52" s="201"/>
      <c r="R52" s="166"/>
      <c r="S52" s="215" t="s">
        <v>245</v>
      </c>
      <c r="T52" s="164">
        <f t="shared" si="20"/>
        <v>54</v>
      </c>
      <c r="U52" s="187" t="s">
        <v>4</v>
      </c>
      <c r="V52" s="187"/>
      <c r="W52" s="187">
        <v>0</v>
      </c>
      <c r="X52" s="231">
        <f t="shared" si="24"/>
        <v>0</v>
      </c>
      <c r="Y52" s="166"/>
      <c r="Z52" s="166"/>
      <c r="AA52" s="254" t="str">
        <f t="shared" si="21"/>
        <v/>
      </c>
      <c r="AB52" s="166"/>
      <c r="AC52" s="231">
        <f t="shared" si="22"/>
        <v>-5</v>
      </c>
      <c r="AD52" s="166"/>
      <c r="AE52" s="232">
        <f>PresenceBonus</f>
        <v>1</v>
      </c>
      <c r="AF52" s="166"/>
      <c r="AG52" s="244"/>
      <c r="AH52" s="166"/>
      <c r="AI52" s="244"/>
      <c r="AJ52" s="166"/>
      <c r="AK52" s="238">
        <f t="shared" si="25"/>
        <v>-4</v>
      </c>
    </row>
    <row r="53" spans="6:37" x14ac:dyDescent="0.5">
      <c r="AA53" s="256"/>
      <c r="AG53" s="243"/>
      <c r="AI53" s="243"/>
      <c r="AK53" s="186"/>
    </row>
    <row r="54" spans="6:37" ht="13.8" customHeight="1" thickBot="1" x14ac:dyDescent="0.55000000000000004">
      <c r="R54" s="361" t="s">
        <v>535</v>
      </c>
      <c r="S54" s="361"/>
      <c r="T54" s="361"/>
      <c r="U54" s="361"/>
      <c r="V54" s="361"/>
      <c r="W54" s="361"/>
      <c r="X54" s="361"/>
      <c r="Y54" s="361"/>
      <c r="Z54" s="361"/>
      <c r="AA54" s="361"/>
      <c r="AB54" s="361"/>
      <c r="AC54" s="361"/>
      <c r="AD54" s="361"/>
      <c r="AE54" s="361"/>
      <c r="AF54" s="361"/>
      <c r="AG54" s="361"/>
      <c r="AH54" s="361"/>
      <c r="AI54" s="361"/>
      <c r="AJ54" s="361"/>
      <c r="AK54" s="361"/>
    </row>
    <row r="55" spans="6:37" ht="15" x14ac:dyDescent="0.5">
      <c r="R55" s="162"/>
      <c r="S55" s="220" t="s">
        <v>21</v>
      </c>
      <c r="T55" s="164">
        <f>MATCH(S55,SkillList,)</f>
        <v>13</v>
      </c>
      <c r="U55" s="221" t="s">
        <v>4</v>
      </c>
      <c r="V55" s="162"/>
      <c r="W55" s="225">
        <v>2</v>
      </c>
      <c r="X55" s="223">
        <f>V55+W55</f>
        <v>2</v>
      </c>
      <c r="Y55" s="162"/>
      <c r="Z55" s="162"/>
      <c r="AA55" s="257" t="str">
        <f>GetNextSkillCost(SelectedProfession,S55,V55,T55)</f>
        <v/>
      </c>
      <c r="AB55" s="162"/>
      <c r="AC55" s="223">
        <f>INDEX(SkillLevelBonus,X55+1)</f>
        <v>10</v>
      </c>
      <c r="AD55" s="162"/>
      <c r="AE55" s="229">
        <f>PresenceBonus</f>
        <v>1</v>
      </c>
      <c r="AF55" s="162"/>
      <c r="AG55" s="162"/>
      <c r="AH55" s="162"/>
      <c r="AI55" s="162"/>
      <c r="AJ55" s="162"/>
      <c r="AK55" s="230">
        <f>AC55+AE55</f>
        <v>11</v>
      </c>
    </row>
    <row r="56" spans="6:37" ht="15" x14ac:dyDescent="0.5">
      <c r="R56" s="162"/>
      <c r="S56" s="220" t="s">
        <v>20</v>
      </c>
      <c r="T56" s="164">
        <f>MATCH(S56,SkillList,)</f>
        <v>12</v>
      </c>
      <c r="U56" s="221" t="s">
        <v>2</v>
      </c>
      <c r="V56" s="162"/>
      <c r="W56" s="225">
        <v>1</v>
      </c>
      <c r="X56" s="223">
        <f>V56+W56</f>
        <v>1</v>
      </c>
      <c r="Y56" s="162"/>
      <c r="Z56" s="162"/>
      <c r="AA56" s="257" t="str">
        <f>GetNextSkillCost(SelectedProfession,S56,V56,T56)</f>
        <v>1</v>
      </c>
      <c r="AB56" s="162"/>
      <c r="AC56" s="223">
        <f>INDEX(SkillLevelBonus,X56+1)</f>
        <v>5</v>
      </c>
      <c r="AD56" s="162"/>
      <c r="AE56" s="229">
        <f>ConstitutionBonus</f>
        <v>6</v>
      </c>
      <c r="AF56" s="162"/>
      <c r="AG56" s="162"/>
      <c r="AH56" s="162"/>
      <c r="AI56" s="162"/>
      <c r="AJ56" s="162"/>
      <c r="AK56" s="230">
        <f>AC56+AE56</f>
        <v>11</v>
      </c>
    </row>
    <row r="57" spans="6:37" x14ac:dyDescent="0.5">
      <c r="AA57" s="256"/>
      <c r="AK57" s="186"/>
    </row>
  </sheetData>
  <mergeCells count="12">
    <mergeCell ref="R54:AK54"/>
    <mergeCell ref="AA1:AC1"/>
    <mergeCell ref="R46:AK46"/>
    <mergeCell ref="F49:G49"/>
    <mergeCell ref="F21:G21"/>
    <mergeCell ref="R38:AK38"/>
    <mergeCell ref="R28:AK28"/>
    <mergeCell ref="R21:AK21"/>
    <mergeCell ref="R12:AK12"/>
    <mergeCell ref="R5:AK5"/>
    <mergeCell ref="F3:P3"/>
    <mergeCell ref="R3:AK3"/>
  </mergeCells>
  <dataValidations count="2">
    <dataValidation type="list" showErrorMessage="1" sqref="D5" xr:uid="{DEC6D005-C9E3-45B4-BCC2-9BCF34BCCF2B}">
      <formula1>Races</formula1>
    </dataValidation>
    <dataValidation type="list" allowBlank="1" showInputMessage="1" showErrorMessage="1" sqref="D6" xr:uid="{BADD23A9-4D78-4CE1-900E-A038564014BB}">
      <formula1>INDIRECT(SUBSTITUTE(D5,"-",""))</formula1>
    </dataValidation>
  </dataValidations>
  <pageMargins left="0.25" right="0.25" top="0.5" bottom="0.5" header="0.3" footer="0.3"/>
  <pageSetup orientation="portrait" r:id="rId1"/>
  <headerFooter>
    <oddHeader>&amp;CBody and Brain Character Sheet</oddHeader>
  </headerFooter>
  <ignoredErrors>
    <ignoredError sqref="AE42 AE40 AE3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RollStatPool">
                <anchor moveWithCells="1">
                  <from>
                    <xdr:col>7</xdr:col>
                    <xdr:colOff>22860</xdr:colOff>
                    <xdr:row>48</xdr:row>
                    <xdr:rowOff>30480</xdr:rowOff>
                  </from>
                  <to>
                    <xdr:col>7</xdr:col>
                    <xdr:colOff>289560</xdr:colOff>
                    <xdr:row>48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5" name="Button 41">
              <controlPr defaultSize="0" print="0" autoFill="0" autoPict="0" macro="[0]!SetApprenticeship">
                <anchor moveWithCells="1" sizeWithCells="1">
                  <from>
                    <xdr:col>3</xdr:col>
                    <xdr:colOff>22860</xdr:colOff>
                    <xdr:row>6</xdr:row>
                    <xdr:rowOff>15240</xdr:rowOff>
                  </from>
                  <to>
                    <xdr:col>3</xdr:col>
                    <xdr:colOff>411480</xdr:colOff>
                    <xdr:row>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6" name="Button 170">
              <controlPr defaultSize="0" print="0" autoFill="0" autoPict="0" macro="[0]!IncreaseSkillLevel">
                <anchor moveWithCells="1" sizeWithCells="1">
                  <from>
                    <xdr:col>24</xdr:col>
                    <xdr:colOff>11430</xdr:colOff>
                    <xdr:row>5</xdr:row>
                    <xdr:rowOff>0</xdr:rowOff>
                  </from>
                  <to>
                    <xdr:col>25</xdr:col>
                    <xdr:colOff>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7" name="Button 172">
              <controlPr defaultSize="0" print="0" autoFill="0" autoPict="0" macro="[0]!DecreaseSkillLevel">
                <anchor moveWithCells="1" sizeWithCells="1">
                  <from>
                    <xdr:col>24</xdr:col>
                    <xdr:colOff>11430</xdr:colOff>
                    <xdr:row>5</xdr:row>
                    <xdr:rowOff>99060</xdr:rowOff>
                  </from>
                  <to>
                    <xdr:col>25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8" name="Button 175">
              <controlPr defaultSize="0" print="0" autoFill="0" autoPict="0" macro="[0]!IncreaseSkillLevel">
                <anchor moveWithCells="1" sizeWithCells="1">
                  <from>
                    <xdr:col>24</xdr:col>
                    <xdr:colOff>11430</xdr:colOff>
                    <xdr:row>6</xdr:row>
                    <xdr:rowOff>3810</xdr:rowOff>
                  </from>
                  <to>
                    <xdr:col>25</xdr:col>
                    <xdr:colOff>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9" name="Button 176">
              <controlPr defaultSize="0" print="0" autoFill="0" autoPict="0" macro="[0]!DecreaseSkillLevel">
                <anchor moveWithCells="1" sizeWithCells="1">
                  <from>
                    <xdr:col>24</xdr:col>
                    <xdr:colOff>11430</xdr:colOff>
                    <xdr:row>6</xdr:row>
                    <xdr:rowOff>102870</xdr:rowOff>
                  </from>
                  <to>
                    <xdr:col>25</xdr:col>
                    <xdr:colOff>0</xdr:colOff>
                    <xdr:row>7</xdr:row>
                    <xdr:rowOff>3810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0" name="Button 177">
              <controlPr defaultSize="0" print="0" autoFill="0" autoPict="0" macro="[0]!IncreaseSkillLevel">
                <anchor moveWithCells="1" sizeWithCells="1">
                  <from>
                    <xdr:col>24</xdr:col>
                    <xdr:colOff>11430</xdr:colOff>
                    <xdr:row>7</xdr:row>
                    <xdr:rowOff>11430</xdr:rowOff>
                  </from>
                  <to>
                    <xdr:col>25</xdr:col>
                    <xdr:colOff>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1" name="Button 178">
              <controlPr defaultSize="0" print="0" autoFill="0" autoPict="0" macro="[0]!DecreaseSkillLevel">
                <anchor moveWithCells="1" sizeWithCells="1">
                  <from>
                    <xdr:col>24</xdr:col>
                    <xdr:colOff>11430</xdr:colOff>
                    <xdr:row>7</xdr:row>
                    <xdr:rowOff>102870</xdr:rowOff>
                  </from>
                  <to>
                    <xdr:col>25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2" name="Button 179">
              <controlPr defaultSize="0" print="0" autoFill="0" autoPict="0" macro="[0]!IncreaseSkillLevel">
                <anchor moveWithCells="1" sizeWithCells="1">
                  <from>
                    <xdr:col>24</xdr:col>
                    <xdr:colOff>7620</xdr:colOff>
                    <xdr:row>8</xdr:row>
                    <xdr:rowOff>3810</xdr:rowOff>
                  </from>
                  <to>
                    <xdr:col>25</xdr:col>
                    <xdr:colOff>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3" name="Button 180">
              <controlPr defaultSize="0" print="0" autoFill="0" autoPict="0" macro="[0]!DecreaseSkillLevel">
                <anchor moveWithCells="1" sizeWithCells="1">
                  <from>
                    <xdr:col>24</xdr:col>
                    <xdr:colOff>7620</xdr:colOff>
                    <xdr:row>8</xdr:row>
                    <xdr:rowOff>102870</xdr:rowOff>
                  </from>
                  <to>
                    <xdr:col>25</xdr:col>
                    <xdr:colOff>0</xdr:colOff>
                    <xdr:row>8</xdr:row>
                    <xdr:rowOff>194310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4" name="Button 181">
              <controlPr defaultSize="0" print="0" autoFill="0" autoPict="0" macro="[0]!IncreaseSkillLevel">
                <anchor moveWithCells="1" sizeWithCells="1">
                  <from>
                    <xdr:col>24</xdr:col>
                    <xdr:colOff>7620</xdr:colOff>
                    <xdr:row>9</xdr:row>
                    <xdr:rowOff>0</xdr:rowOff>
                  </from>
                  <to>
                    <xdr:col>25</xdr:col>
                    <xdr:colOff>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5" name="Button 182">
              <controlPr defaultSize="0" print="0" autoFill="0" autoPict="0" macro="[0]!DecreaseSkillLevel">
                <anchor moveWithCells="1" sizeWithCells="1">
                  <from>
                    <xdr:col>24</xdr:col>
                    <xdr:colOff>7620</xdr:colOff>
                    <xdr:row>9</xdr:row>
                    <xdr:rowOff>99060</xdr:rowOff>
                  </from>
                  <to>
                    <xdr:col>25</xdr:col>
                    <xdr:colOff>0</xdr:colOff>
                    <xdr:row>10</xdr:row>
                    <xdr:rowOff>3810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6" name="Button 18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12</xdr:row>
                    <xdr:rowOff>0</xdr:rowOff>
                  </from>
                  <to>
                    <xdr:col>25</xdr:col>
                    <xdr:colOff>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" name="Button 18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12</xdr:row>
                    <xdr:rowOff>99060</xdr:rowOff>
                  </from>
                  <to>
                    <xdr:col>25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8" name="Button 189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25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9" name="Button 190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13</xdr:row>
                    <xdr:rowOff>99060</xdr:rowOff>
                  </from>
                  <to>
                    <xdr:col>25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20" name="Button 19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14</xdr:row>
                    <xdr:rowOff>0</xdr:rowOff>
                  </from>
                  <to>
                    <xdr:col>25</xdr:col>
                    <xdr:colOff>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21" name="Button 19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14</xdr:row>
                    <xdr:rowOff>99060</xdr:rowOff>
                  </from>
                  <to>
                    <xdr:col>25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22" name="Button 20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15</xdr:row>
                    <xdr:rowOff>0</xdr:rowOff>
                  </from>
                  <to>
                    <xdr:col>25</xdr:col>
                    <xdr:colOff>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23" name="Button 20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15</xdr:row>
                    <xdr:rowOff>99060</xdr:rowOff>
                  </from>
                  <to>
                    <xdr:col>25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24" name="Button 20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16</xdr:row>
                    <xdr:rowOff>0</xdr:rowOff>
                  </from>
                  <to>
                    <xdr:col>25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25" name="Button 20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16</xdr:row>
                    <xdr:rowOff>99060</xdr:rowOff>
                  </from>
                  <to>
                    <xdr:col>25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26" name="Button 20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17</xdr:row>
                    <xdr:rowOff>0</xdr:rowOff>
                  </from>
                  <to>
                    <xdr:col>25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27" name="Button 20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17</xdr:row>
                    <xdr:rowOff>99060</xdr:rowOff>
                  </from>
                  <to>
                    <xdr:col>25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28" name="Button 21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18</xdr:row>
                    <xdr:rowOff>0</xdr:rowOff>
                  </from>
                  <to>
                    <xdr:col>25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29" name="Button 21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18</xdr:row>
                    <xdr:rowOff>99060</xdr:rowOff>
                  </from>
                  <to>
                    <xdr:col>25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" r:id="rId30" name="Button 21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21</xdr:row>
                    <xdr:rowOff>0</xdr:rowOff>
                  </from>
                  <to>
                    <xdr:col>25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" r:id="rId31" name="Button 21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21</xdr:row>
                    <xdr:rowOff>99060</xdr:rowOff>
                  </from>
                  <to>
                    <xdr:col>25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" r:id="rId32" name="Button 21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22</xdr:row>
                    <xdr:rowOff>0</xdr:rowOff>
                  </from>
                  <to>
                    <xdr:col>25</xdr:col>
                    <xdr:colOff>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" r:id="rId33" name="Button 21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22</xdr:row>
                    <xdr:rowOff>99060</xdr:rowOff>
                  </from>
                  <to>
                    <xdr:col>25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" r:id="rId34" name="Button 22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23</xdr:row>
                    <xdr:rowOff>0</xdr:rowOff>
                  </from>
                  <to>
                    <xdr:col>25</xdr:col>
                    <xdr:colOff>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" r:id="rId35" name="Button 22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23</xdr:row>
                    <xdr:rowOff>99060</xdr:rowOff>
                  </from>
                  <to>
                    <xdr:col>25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" r:id="rId36" name="Button 22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24</xdr:row>
                    <xdr:rowOff>0</xdr:rowOff>
                  </from>
                  <to>
                    <xdr:col>25</xdr:col>
                    <xdr:colOff>0</xdr:colOff>
                    <xdr:row>24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37" name="Button 22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24</xdr:row>
                    <xdr:rowOff>99060</xdr:rowOff>
                  </from>
                  <to>
                    <xdr:col>25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38" name="Button 229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25</xdr:row>
                    <xdr:rowOff>0</xdr:rowOff>
                  </from>
                  <to>
                    <xdr:col>25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39" name="Button 230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25</xdr:row>
                    <xdr:rowOff>99060</xdr:rowOff>
                  </from>
                  <to>
                    <xdr:col>25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40" name="Button 23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28</xdr:row>
                    <xdr:rowOff>0</xdr:rowOff>
                  </from>
                  <to>
                    <xdr:col>25</xdr:col>
                    <xdr:colOff>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41" name="Button 23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28</xdr:row>
                    <xdr:rowOff>99060</xdr:rowOff>
                  </from>
                  <to>
                    <xdr:col>25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42" name="Button 23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29</xdr:row>
                    <xdr:rowOff>0</xdr:rowOff>
                  </from>
                  <to>
                    <xdr:col>25</xdr:col>
                    <xdr:colOff>0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43" name="Button 23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29</xdr:row>
                    <xdr:rowOff>99060</xdr:rowOff>
                  </from>
                  <to>
                    <xdr:col>25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44" name="Button 24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30</xdr:row>
                    <xdr:rowOff>0</xdr:rowOff>
                  </from>
                  <to>
                    <xdr:col>25</xdr:col>
                    <xdr:colOff>0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45" name="Button 24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30</xdr:row>
                    <xdr:rowOff>99060</xdr:rowOff>
                  </from>
                  <to>
                    <xdr:col>25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46" name="Button 24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31</xdr:row>
                    <xdr:rowOff>0</xdr:rowOff>
                  </from>
                  <to>
                    <xdr:col>25</xdr:col>
                    <xdr:colOff>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47" name="Button 24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31</xdr:row>
                    <xdr:rowOff>99060</xdr:rowOff>
                  </from>
                  <to>
                    <xdr:col>25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48" name="Button 24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32</xdr:row>
                    <xdr:rowOff>0</xdr:rowOff>
                  </from>
                  <to>
                    <xdr:col>25</xdr:col>
                    <xdr:colOff>0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49" name="Button 24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32</xdr:row>
                    <xdr:rowOff>99060</xdr:rowOff>
                  </from>
                  <to>
                    <xdr:col>25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50" name="Button 24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33</xdr:row>
                    <xdr:rowOff>0</xdr:rowOff>
                  </from>
                  <to>
                    <xdr:col>25</xdr:col>
                    <xdr:colOff>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51" name="Button 24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33</xdr:row>
                    <xdr:rowOff>99060</xdr:rowOff>
                  </from>
                  <to>
                    <xdr:col>25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52" name="Button 249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34</xdr:row>
                    <xdr:rowOff>0</xdr:rowOff>
                  </from>
                  <to>
                    <xdr:col>25</xdr:col>
                    <xdr:colOff>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53" name="Button 250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34</xdr:row>
                    <xdr:rowOff>99060</xdr:rowOff>
                  </from>
                  <to>
                    <xdr:col>25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54" name="Button 25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35</xdr:row>
                    <xdr:rowOff>0</xdr:rowOff>
                  </from>
                  <to>
                    <xdr:col>25</xdr:col>
                    <xdr:colOff>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55" name="Button 25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35</xdr:row>
                    <xdr:rowOff>99060</xdr:rowOff>
                  </from>
                  <to>
                    <xdr:col>25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56" name="Button 25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38</xdr:row>
                    <xdr:rowOff>0</xdr:rowOff>
                  </from>
                  <to>
                    <xdr:col>25</xdr:col>
                    <xdr:colOff>0</xdr:colOff>
                    <xdr:row>38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57" name="Button 25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38</xdr:row>
                    <xdr:rowOff>99060</xdr:rowOff>
                  </from>
                  <to>
                    <xdr:col>25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58" name="Button 26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39</xdr:row>
                    <xdr:rowOff>0</xdr:rowOff>
                  </from>
                  <to>
                    <xdr:col>25</xdr:col>
                    <xdr:colOff>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59" name="Button 26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39</xdr:row>
                    <xdr:rowOff>99060</xdr:rowOff>
                  </from>
                  <to>
                    <xdr:col>25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60" name="Button 26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40</xdr:row>
                    <xdr:rowOff>0</xdr:rowOff>
                  </from>
                  <to>
                    <xdr:col>25</xdr:col>
                    <xdr:colOff>0</xdr:colOff>
                    <xdr:row>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61" name="Button 26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40</xdr:row>
                    <xdr:rowOff>99060</xdr:rowOff>
                  </from>
                  <to>
                    <xdr:col>25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62" name="Button 26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41</xdr:row>
                    <xdr:rowOff>0</xdr:rowOff>
                  </from>
                  <to>
                    <xdr:col>25</xdr:col>
                    <xdr:colOff>0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63" name="Button 26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41</xdr:row>
                    <xdr:rowOff>99060</xdr:rowOff>
                  </from>
                  <to>
                    <xdr:col>25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64" name="Button 269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42</xdr:row>
                    <xdr:rowOff>0</xdr:rowOff>
                  </from>
                  <to>
                    <xdr:col>25</xdr:col>
                    <xdr:colOff>0</xdr:colOff>
                    <xdr:row>42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65" name="Button 270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42</xdr:row>
                    <xdr:rowOff>99060</xdr:rowOff>
                  </from>
                  <to>
                    <xdr:col>25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66" name="Button 27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43</xdr:row>
                    <xdr:rowOff>0</xdr:rowOff>
                  </from>
                  <to>
                    <xdr:col>25</xdr:col>
                    <xdr:colOff>0</xdr:colOff>
                    <xdr:row>43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67" name="Button 27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43</xdr:row>
                    <xdr:rowOff>99060</xdr:rowOff>
                  </from>
                  <to>
                    <xdr:col>25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68" name="Button 27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46</xdr:row>
                    <xdr:rowOff>0</xdr:rowOff>
                  </from>
                  <to>
                    <xdr:col>25</xdr:col>
                    <xdr:colOff>0</xdr:colOff>
                    <xdr:row>46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69" name="Button 27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46</xdr:row>
                    <xdr:rowOff>99060</xdr:rowOff>
                  </from>
                  <to>
                    <xdr:col>25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70" name="Button 27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47</xdr:row>
                    <xdr:rowOff>0</xdr:rowOff>
                  </from>
                  <to>
                    <xdr:col>25</xdr:col>
                    <xdr:colOff>0</xdr:colOff>
                    <xdr:row>47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71" name="Button 27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47</xdr:row>
                    <xdr:rowOff>99060</xdr:rowOff>
                  </from>
                  <to>
                    <xdr:col>25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72" name="Button 279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48</xdr:row>
                    <xdr:rowOff>0</xdr:rowOff>
                  </from>
                  <to>
                    <xdr:col>25</xdr:col>
                    <xdr:colOff>0</xdr:colOff>
                    <xdr:row>48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73" name="Button 280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48</xdr:row>
                    <xdr:rowOff>99060</xdr:rowOff>
                  </from>
                  <to>
                    <xdr:col>25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74" name="Button 28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49</xdr:row>
                    <xdr:rowOff>0</xdr:rowOff>
                  </from>
                  <to>
                    <xdr:col>25</xdr:col>
                    <xdr:colOff>0</xdr:colOff>
                    <xdr:row>49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75" name="Button 28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49</xdr:row>
                    <xdr:rowOff>99060</xdr:rowOff>
                  </from>
                  <to>
                    <xdr:col>25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76" name="Button 28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50</xdr:row>
                    <xdr:rowOff>0</xdr:rowOff>
                  </from>
                  <to>
                    <xdr:col>25</xdr:col>
                    <xdr:colOff>0</xdr:colOff>
                    <xdr:row>50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77" name="Button 28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50</xdr:row>
                    <xdr:rowOff>99060</xdr:rowOff>
                  </from>
                  <to>
                    <xdr:col>25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78" name="Button 28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51</xdr:row>
                    <xdr:rowOff>0</xdr:rowOff>
                  </from>
                  <to>
                    <xdr:col>25</xdr:col>
                    <xdr:colOff>0</xdr:colOff>
                    <xdr:row>51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79" name="Button 28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51</xdr:row>
                    <xdr:rowOff>99060</xdr:rowOff>
                  </from>
                  <to>
                    <xdr:col>25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80" name="Button 29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54</xdr:row>
                    <xdr:rowOff>0</xdr:rowOff>
                  </from>
                  <to>
                    <xdr:col>25</xdr:col>
                    <xdr:colOff>0</xdr:colOff>
                    <xdr:row>54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81" name="Button 29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54</xdr:row>
                    <xdr:rowOff>99060</xdr:rowOff>
                  </from>
                  <to>
                    <xdr:col>25</xdr:col>
                    <xdr:colOff>0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82" name="Button 29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55</xdr:row>
                    <xdr:rowOff>0</xdr:rowOff>
                  </from>
                  <to>
                    <xdr:col>25</xdr:col>
                    <xdr:colOff>0</xdr:colOff>
                    <xdr:row>55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83" name="Button 29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55</xdr:row>
                    <xdr:rowOff>99060</xdr:rowOff>
                  </from>
                  <to>
                    <xdr:col>25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84" name="Button 299">
              <controlPr defaultSize="0" print="0" autoFill="0" autoPict="0" macro="[0]!LevelUp">
                <anchor moveWithCells="1">
                  <from>
                    <xdr:col>7</xdr:col>
                    <xdr:colOff>7620</xdr:colOff>
                    <xdr:row>0</xdr:row>
                    <xdr:rowOff>7620</xdr:rowOff>
                  </from>
                  <to>
                    <xdr:col>9</xdr:col>
                    <xdr:colOff>175260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85" name="Button 300">
              <controlPr defaultSize="0" print="0" autoFill="0" autoPict="0" macro="[0]!CommitLevel">
                <anchor moveWithCells="1">
                  <from>
                    <xdr:col>9</xdr:col>
                    <xdr:colOff>182880</xdr:colOff>
                    <xdr:row>0</xdr:row>
                    <xdr:rowOff>7620</xdr:rowOff>
                  </from>
                  <to>
                    <xdr:col>11</xdr:col>
                    <xdr:colOff>220980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86" name="Button 302">
              <controlPr defaultSize="0" print="0" autoFill="0" autoPict="0" macro="[0]!RevertLevel">
                <anchor moveWithCells="1">
                  <from>
                    <xdr:col>11</xdr:col>
                    <xdr:colOff>228600</xdr:colOff>
                    <xdr:row>0</xdr:row>
                    <xdr:rowOff>7620</xdr:rowOff>
                  </from>
                  <to>
                    <xdr:col>13</xdr:col>
                    <xdr:colOff>99060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87" name="Button 303">
              <controlPr defaultSize="0" print="0" autoFill="0" autoPict="0" macro="[0]!LockStats">
                <anchor moveWithCells="1">
                  <from>
                    <xdr:col>13</xdr:col>
                    <xdr:colOff>213360</xdr:colOff>
                    <xdr:row>48</xdr:row>
                    <xdr:rowOff>38100</xdr:rowOff>
                  </from>
                  <to>
                    <xdr:col>15</xdr:col>
                    <xdr:colOff>228600</xdr:colOff>
                    <xdr:row>49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88" name="Button 304">
              <controlPr defaultSize="0" print="0" autoFill="0" autoPict="0" macro="[0]!ResetAll" altText="Reset All">
                <anchor moveWithCells="1">
                  <from>
                    <xdr:col>13</xdr:col>
                    <xdr:colOff>388620</xdr:colOff>
                    <xdr:row>51</xdr:row>
                    <xdr:rowOff>15240</xdr:rowOff>
                  </from>
                  <to>
                    <xdr:col>15</xdr:col>
                    <xdr:colOff>156210</xdr:colOff>
                    <xdr:row>51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E9D8F1C-4254-4B29-BB0E-F7CCA08C3123}">
          <x14:formula1>
            <xm:f>OFFSET(AvailableTo,MATCH(SelectedProfession,Apprenticeships!$B$2:$B$20)-2,-1,COUNTIF(Apprenticeships!$B$2:$B$20,SelectedProfession),1)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A489A-24B7-DD44-A937-428BF13699F2}">
  <sheetPr codeName="Sheet1"/>
  <dimension ref="A1:O55"/>
  <sheetViews>
    <sheetView zoomScale="198" zoomScaleNormal="198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defaultRowHeight="14.1" x14ac:dyDescent="0.5"/>
  <cols>
    <col min="1" max="1" width="19" bestFit="1" customWidth="1"/>
    <col min="2" max="2" width="20.21875" bestFit="1" customWidth="1"/>
    <col min="3" max="11" width="10.33203125" style="1" customWidth="1"/>
    <col min="12" max="12" width="13.33203125" style="1" customWidth="1"/>
    <col min="13" max="13" width="9.88671875" style="1" bestFit="1" customWidth="1"/>
    <col min="14" max="14" width="6.33203125" style="1" bestFit="1" customWidth="1"/>
    <col min="15" max="15" width="9.88671875" style="1" bestFit="1" customWidth="1"/>
    <col min="16" max="17" width="8" customWidth="1"/>
    <col min="18" max="18" width="6.5546875" customWidth="1"/>
    <col min="19" max="19" width="11.6640625" bestFit="1" customWidth="1"/>
    <col min="20" max="20" width="8.21875" customWidth="1"/>
    <col min="21" max="21" width="13.44140625" customWidth="1"/>
    <col min="22" max="22" width="9.6640625" bestFit="1" customWidth="1"/>
    <col min="23" max="23" width="9.21875" bestFit="1" customWidth="1"/>
    <col min="24" max="24" width="11.44140625" customWidth="1"/>
    <col min="25" max="25" width="10.44140625" customWidth="1"/>
    <col min="26" max="26" width="12.109375" bestFit="1" customWidth="1"/>
    <col min="27" max="27" width="9.88671875" customWidth="1"/>
    <col min="28" max="28" width="13.88671875" customWidth="1"/>
    <col min="29" max="29" width="9.44140625" customWidth="1"/>
    <col min="30" max="30" width="10.33203125" customWidth="1"/>
    <col min="31" max="31" width="12.6640625" bestFit="1" customWidth="1"/>
    <col min="32" max="32" width="11" customWidth="1"/>
    <col min="33" max="33" width="15.88671875" bestFit="1" customWidth="1"/>
    <col min="34" max="34" width="11.77734375" bestFit="1" customWidth="1"/>
    <col min="35" max="35" width="17.5546875" customWidth="1"/>
    <col min="36" max="36" width="13.5546875" customWidth="1"/>
    <col min="37" max="37" width="11.21875" customWidth="1"/>
    <col min="38" max="38" width="9.88671875" bestFit="1" customWidth="1"/>
    <col min="39" max="39" width="11.109375" customWidth="1"/>
    <col min="40" max="40" width="11.6640625" customWidth="1"/>
  </cols>
  <sheetData>
    <row r="1" spans="1:14" x14ac:dyDescent="0.5">
      <c r="A1" s="37" t="s">
        <v>257</v>
      </c>
      <c r="B1" s="38" t="s">
        <v>402</v>
      </c>
      <c r="C1" s="39" t="s">
        <v>542</v>
      </c>
      <c r="D1" s="39" t="s">
        <v>566</v>
      </c>
      <c r="E1" s="39" t="s">
        <v>13</v>
      </c>
      <c r="F1" s="39" t="s">
        <v>14</v>
      </c>
      <c r="G1" s="39" t="s">
        <v>15</v>
      </c>
      <c r="H1" s="39" t="s">
        <v>16</v>
      </c>
      <c r="I1" s="39" t="s">
        <v>19</v>
      </c>
      <c r="J1" s="39" t="s">
        <v>17</v>
      </c>
      <c r="K1" s="40" t="s">
        <v>18</v>
      </c>
    </row>
    <row r="2" spans="1:14" x14ac:dyDescent="0.5">
      <c r="A2" s="41" t="s">
        <v>8</v>
      </c>
      <c r="B2" s="42"/>
      <c r="C2" s="281"/>
      <c r="D2" s="281"/>
      <c r="E2" s="281"/>
      <c r="F2" s="281"/>
      <c r="G2" s="281"/>
      <c r="H2" s="281"/>
      <c r="I2" s="281"/>
      <c r="J2" s="281"/>
      <c r="K2" s="282"/>
      <c r="M2" s="159" t="s">
        <v>499</v>
      </c>
      <c r="N2" s="160" t="s">
        <v>84</v>
      </c>
    </row>
    <row r="3" spans="1:14" x14ac:dyDescent="0.5">
      <c r="A3" s="43" t="s">
        <v>67</v>
      </c>
      <c r="B3" s="42" t="s">
        <v>509</v>
      </c>
      <c r="C3" s="283" t="s">
        <v>59</v>
      </c>
      <c r="D3" s="283" t="s">
        <v>59</v>
      </c>
      <c r="E3" s="283" t="s">
        <v>59</v>
      </c>
      <c r="F3" s="283" t="s">
        <v>558</v>
      </c>
      <c r="G3" s="283" t="s">
        <v>558</v>
      </c>
      <c r="H3" s="283" t="s">
        <v>558</v>
      </c>
      <c r="I3" s="283">
        <v>7</v>
      </c>
      <c r="J3" s="283">
        <v>5</v>
      </c>
      <c r="K3" s="284" t="s">
        <v>558</v>
      </c>
      <c r="M3" s="157">
        <v>0</v>
      </c>
      <c r="N3" s="69">
        <v>-5</v>
      </c>
    </row>
    <row r="4" spans="1:14" x14ac:dyDescent="0.5">
      <c r="A4" s="43" t="s">
        <v>1</v>
      </c>
      <c r="B4" s="42" t="s">
        <v>510</v>
      </c>
      <c r="C4" s="281" t="s">
        <v>59</v>
      </c>
      <c r="D4" s="281" t="s">
        <v>558</v>
      </c>
      <c r="E4" s="281" t="s">
        <v>558</v>
      </c>
      <c r="F4" s="281" t="s">
        <v>59</v>
      </c>
      <c r="G4" s="281" t="s">
        <v>558</v>
      </c>
      <c r="H4" s="281">
        <v>3</v>
      </c>
      <c r="I4" s="281">
        <v>5</v>
      </c>
      <c r="J4" s="281">
        <v>10</v>
      </c>
      <c r="K4" s="282">
        <v>4</v>
      </c>
      <c r="M4" s="158">
        <v>1</v>
      </c>
      <c r="N4" s="71">
        <v>5</v>
      </c>
    </row>
    <row r="5" spans="1:14" x14ac:dyDescent="0.5">
      <c r="A5" s="43" t="s">
        <v>11</v>
      </c>
      <c r="B5" s="42"/>
      <c r="C5" s="283"/>
      <c r="D5" s="283"/>
      <c r="E5" s="283"/>
      <c r="F5" s="283"/>
      <c r="G5" s="283"/>
      <c r="H5" s="283"/>
      <c r="I5" s="283"/>
      <c r="J5" s="283"/>
      <c r="K5" s="284"/>
      <c r="M5" s="157">
        <v>2</v>
      </c>
      <c r="N5" s="69">
        <v>10</v>
      </c>
    </row>
    <row r="6" spans="1:14" x14ac:dyDescent="0.5">
      <c r="A6" s="43" t="s">
        <v>0</v>
      </c>
      <c r="B6" s="42" t="s">
        <v>511</v>
      </c>
      <c r="C6" s="281" t="s">
        <v>557</v>
      </c>
      <c r="D6" s="281" t="s">
        <v>558</v>
      </c>
      <c r="E6" s="281" t="s">
        <v>557</v>
      </c>
      <c r="F6" s="281">
        <v>4</v>
      </c>
      <c r="G6" s="281">
        <v>6</v>
      </c>
      <c r="H6" s="281">
        <v>4</v>
      </c>
      <c r="I6" s="281">
        <v>15</v>
      </c>
      <c r="J6" s="281">
        <v>15</v>
      </c>
      <c r="K6" s="282">
        <v>6</v>
      </c>
      <c r="M6" s="158">
        <v>3</v>
      </c>
      <c r="N6" s="71">
        <v>15</v>
      </c>
    </row>
    <row r="7" spans="1:14" x14ac:dyDescent="0.5">
      <c r="A7" s="43" t="s">
        <v>1</v>
      </c>
      <c r="B7" s="42" t="s">
        <v>512</v>
      </c>
      <c r="C7" s="283" t="s">
        <v>557</v>
      </c>
      <c r="D7" s="283">
        <v>4</v>
      </c>
      <c r="E7" s="283">
        <v>5</v>
      </c>
      <c r="F7" s="283" t="s">
        <v>558</v>
      </c>
      <c r="G7" s="283">
        <v>6</v>
      </c>
      <c r="H7" s="283">
        <v>6</v>
      </c>
      <c r="I7" s="283">
        <v>10</v>
      </c>
      <c r="J7" s="283">
        <v>20</v>
      </c>
      <c r="K7" s="284">
        <v>12</v>
      </c>
      <c r="M7" s="157">
        <v>4</v>
      </c>
      <c r="N7" s="69">
        <v>19</v>
      </c>
    </row>
    <row r="8" spans="1:14" x14ac:dyDescent="0.5">
      <c r="A8" s="43" t="s">
        <v>12</v>
      </c>
      <c r="B8" s="42"/>
      <c r="C8" s="281"/>
      <c r="D8" s="281"/>
      <c r="E8" s="281"/>
      <c r="F8" s="281"/>
      <c r="G8" s="281"/>
      <c r="H8" s="281"/>
      <c r="I8" s="281"/>
      <c r="J8" s="281"/>
      <c r="K8" s="282"/>
      <c r="M8" s="158">
        <v>5</v>
      </c>
      <c r="N8" s="71">
        <v>23</v>
      </c>
    </row>
    <row r="9" spans="1:14" x14ac:dyDescent="0.5">
      <c r="A9" s="43" t="s">
        <v>0</v>
      </c>
      <c r="B9" s="42" t="s">
        <v>513</v>
      </c>
      <c r="C9" s="283">
        <v>7</v>
      </c>
      <c r="D9" s="283">
        <v>4</v>
      </c>
      <c r="E9" s="283">
        <v>7</v>
      </c>
      <c r="F9" s="283">
        <v>10</v>
      </c>
      <c r="G9" s="283">
        <v>11</v>
      </c>
      <c r="H9" s="283">
        <v>12</v>
      </c>
      <c r="I9" s="283">
        <v>20</v>
      </c>
      <c r="J9" s="283">
        <v>40</v>
      </c>
      <c r="K9" s="284">
        <v>10</v>
      </c>
      <c r="M9" s="157">
        <v>6</v>
      </c>
      <c r="N9" s="69">
        <v>26</v>
      </c>
    </row>
    <row r="10" spans="1:14" x14ac:dyDescent="0.5">
      <c r="A10" s="43" t="s">
        <v>1</v>
      </c>
      <c r="B10" s="42" t="s">
        <v>514</v>
      </c>
      <c r="C10" s="281">
        <v>7</v>
      </c>
      <c r="D10" s="281">
        <v>9</v>
      </c>
      <c r="E10" s="281">
        <v>10</v>
      </c>
      <c r="F10" s="281">
        <v>4</v>
      </c>
      <c r="G10" s="281">
        <v>11</v>
      </c>
      <c r="H10" s="281">
        <v>14</v>
      </c>
      <c r="I10" s="281">
        <v>20</v>
      </c>
      <c r="J10" s="281">
        <v>40</v>
      </c>
      <c r="K10" s="282">
        <v>20</v>
      </c>
      <c r="M10" s="158">
        <v>7</v>
      </c>
      <c r="N10" s="71">
        <v>29</v>
      </c>
    </row>
    <row r="11" spans="1:14" x14ac:dyDescent="0.5">
      <c r="A11" s="43"/>
      <c r="B11" s="42"/>
      <c r="C11" s="283"/>
      <c r="D11" s="283"/>
      <c r="E11" s="283"/>
      <c r="F11" s="283"/>
      <c r="G11" s="283"/>
      <c r="H11" s="283"/>
      <c r="I11" s="283"/>
      <c r="J11" s="283"/>
      <c r="K11" s="284"/>
      <c r="M11" s="157">
        <v>8</v>
      </c>
      <c r="N11" s="69">
        <v>31</v>
      </c>
    </row>
    <row r="12" spans="1:14" x14ac:dyDescent="0.5">
      <c r="A12" s="43" t="s">
        <v>4</v>
      </c>
      <c r="B12" s="42" t="s">
        <v>20</v>
      </c>
      <c r="C12" s="281">
        <v>5</v>
      </c>
      <c r="D12" s="281">
        <v>15</v>
      </c>
      <c r="E12" s="281">
        <v>5</v>
      </c>
      <c r="F12" s="281">
        <v>1</v>
      </c>
      <c r="G12" s="281">
        <v>1</v>
      </c>
      <c r="H12" s="281">
        <v>5</v>
      </c>
      <c r="I12" s="281">
        <v>1</v>
      </c>
      <c r="J12" s="281">
        <v>5</v>
      </c>
      <c r="K12" s="282">
        <v>5</v>
      </c>
      <c r="M12" s="158">
        <v>9</v>
      </c>
      <c r="N12" s="71">
        <v>33</v>
      </c>
    </row>
    <row r="13" spans="1:14" x14ac:dyDescent="0.5">
      <c r="A13" s="43" t="s">
        <v>2</v>
      </c>
      <c r="B13" s="42" t="s">
        <v>21</v>
      </c>
      <c r="C13" s="283">
        <v>2</v>
      </c>
      <c r="D13" s="283">
        <v>1</v>
      </c>
      <c r="E13" s="283">
        <v>4</v>
      </c>
      <c r="F13" s="283">
        <v>4</v>
      </c>
      <c r="G13" s="283">
        <v>7</v>
      </c>
      <c r="H13" s="283">
        <v>6</v>
      </c>
      <c r="I13" s="283">
        <v>25</v>
      </c>
      <c r="J13" s="283">
        <v>15</v>
      </c>
      <c r="K13" s="284">
        <v>4</v>
      </c>
      <c r="M13" s="156">
        <v>10</v>
      </c>
      <c r="N13" s="36">
        <v>34</v>
      </c>
    </row>
    <row r="14" spans="1:14" x14ac:dyDescent="0.5">
      <c r="A14" s="43"/>
      <c r="B14" s="42"/>
      <c r="C14" s="281"/>
      <c r="D14" s="281"/>
      <c r="E14" s="281"/>
      <c r="F14" s="281"/>
      <c r="G14" s="281"/>
      <c r="H14" s="281"/>
      <c r="I14" s="281"/>
      <c r="J14" s="281"/>
      <c r="K14" s="282"/>
    </row>
    <row r="15" spans="1:14" x14ac:dyDescent="0.5">
      <c r="A15" s="41" t="s">
        <v>32</v>
      </c>
      <c r="B15" s="42"/>
      <c r="C15" s="283"/>
      <c r="D15" s="283"/>
      <c r="E15" s="283"/>
      <c r="F15" s="283"/>
      <c r="G15" s="283"/>
      <c r="H15" s="283"/>
      <c r="I15" s="283"/>
      <c r="J15" s="283"/>
      <c r="K15" s="284"/>
    </row>
    <row r="16" spans="1:14" x14ac:dyDescent="0.5">
      <c r="A16" s="43" t="s">
        <v>1</v>
      </c>
      <c r="B16" s="42" t="s">
        <v>502</v>
      </c>
      <c r="C16" s="281">
        <v>3</v>
      </c>
      <c r="D16" s="281">
        <v>2</v>
      </c>
      <c r="E16" s="281">
        <v>3</v>
      </c>
      <c r="F16" s="281">
        <v>2</v>
      </c>
      <c r="G16" s="281">
        <v>2</v>
      </c>
      <c r="H16" s="281">
        <v>3</v>
      </c>
      <c r="I16" s="281">
        <v>8</v>
      </c>
      <c r="J16" s="281">
        <v>6</v>
      </c>
      <c r="K16" s="282">
        <v>5</v>
      </c>
    </row>
    <row r="17" spans="1:11" x14ac:dyDescent="0.5">
      <c r="A17" s="43" t="s">
        <v>2</v>
      </c>
      <c r="B17" s="42" t="s">
        <v>425</v>
      </c>
      <c r="C17" s="283">
        <v>3</v>
      </c>
      <c r="D17" s="283">
        <v>3</v>
      </c>
      <c r="E17" s="283">
        <v>3</v>
      </c>
      <c r="F17" s="283">
        <v>2</v>
      </c>
      <c r="G17" s="283">
        <v>2</v>
      </c>
      <c r="H17" s="283">
        <v>2</v>
      </c>
      <c r="I17" s="283">
        <v>7</v>
      </c>
      <c r="J17" s="283">
        <v>5</v>
      </c>
      <c r="K17" s="284">
        <v>4</v>
      </c>
    </row>
    <row r="18" spans="1:11" x14ac:dyDescent="0.5">
      <c r="A18" s="43" t="s">
        <v>1</v>
      </c>
      <c r="B18" s="42" t="s">
        <v>426</v>
      </c>
      <c r="C18" s="281">
        <v>3</v>
      </c>
      <c r="D18" s="281">
        <v>5</v>
      </c>
      <c r="E18" s="281">
        <v>5</v>
      </c>
      <c r="F18" s="281">
        <v>1</v>
      </c>
      <c r="G18" s="281">
        <v>2</v>
      </c>
      <c r="H18" s="281">
        <v>3</v>
      </c>
      <c r="I18" s="281">
        <v>10</v>
      </c>
      <c r="J18" s="281">
        <v>7</v>
      </c>
      <c r="K18" s="282">
        <v>7</v>
      </c>
    </row>
    <row r="19" spans="1:11" x14ac:dyDescent="0.5">
      <c r="A19" s="43" t="s">
        <v>0</v>
      </c>
      <c r="B19" s="42" t="s">
        <v>427</v>
      </c>
      <c r="C19" s="283">
        <v>3</v>
      </c>
      <c r="D19" s="283">
        <v>5</v>
      </c>
      <c r="E19" s="283">
        <v>4</v>
      </c>
      <c r="F19" s="283">
        <v>1</v>
      </c>
      <c r="G19" s="283">
        <v>1</v>
      </c>
      <c r="H19" s="283">
        <v>3</v>
      </c>
      <c r="I19" s="283">
        <v>8</v>
      </c>
      <c r="J19" s="283">
        <v>8</v>
      </c>
      <c r="K19" s="284">
        <v>5</v>
      </c>
    </row>
    <row r="20" spans="1:11" x14ac:dyDescent="0.5">
      <c r="A20" s="43" t="s">
        <v>5</v>
      </c>
      <c r="B20" s="42" t="s">
        <v>551</v>
      </c>
      <c r="C20" s="281">
        <v>3</v>
      </c>
      <c r="D20" s="281">
        <v>4</v>
      </c>
      <c r="E20" s="281">
        <v>4</v>
      </c>
      <c r="F20" s="281">
        <v>2</v>
      </c>
      <c r="G20" s="281">
        <v>2</v>
      </c>
      <c r="H20" s="281">
        <v>3</v>
      </c>
      <c r="I20" s="281">
        <v>8</v>
      </c>
      <c r="J20" s="281">
        <v>7</v>
      </c>
      <c r="K20" s="282">
        <v>5</v>
      </c>
    </row>
    <row r="21" spans="1:11" x14ac:dyDescent="0.5">
      <c r="A21" s="44"/>
      <c r="B21" s="45"/>
      <c r="C21" s="283"/>
      <c r="D21" s="283"/>
      <c r="E21" s="283"/>
      <c r="F21" s="283"/>
      <c r="G21" s="283"/>
      <c r="H21" s="283"/>
      <c r="I21" s="283"/>
      <c r="J21" s="283"/>
      <c r="K21" s="284"/>
    </row>
    <row r="22" spans="1:11" x14ac:dyDescent="0.5">
      <c r="A22" s="46" t="s">
        <v>33</v>
      </c>
      <c r="B22" s="47"/>
      <c r="C22" s="281"/>
      <c r="D22" s="281"/>
      <c r="E22" s="281"/>
      <c r="F22" s="281"/>
      <c r="G22" s="281"/>
      <c r="H22" s="281"/>
      <c r="I22" s="281"/>
      <c r="J22" s="281"/>
      <c r="K22" s="282"/>
    </row>
    <row r="23" spans="1:11" x14ac:dyDescent="0.5">
      <c r="A23" s="48" t="s">
        <v>4</v>
      </c>
      <c r="B23" s="47" t="s">
        <v>27</v>
      </c>
      <c r="C23" s="283">
        <v>8</v>
      </c>
      <c r="D23" s="283">
        <v>20</v>
      </c>
      <c r="E23" s="283">
        <v>10</v>
      </c>
      <c r="F23" s="283">
        <v>2</v>
      </c>
      <c r="G23" s="283" t="s">
        <v>559</v>
      </c>
      <c r="H23" s="283">
        <v>3</v>
      </c>
      <c r="I23" s="283">
        <v>5</v>
      </c>
      <c r="J23" s="283">
        <v>3</v>
      </c>
      <c r="K23" s="284">
        <v>4</v>
      </c>
    </row>
    <row r="24" spans="1:11" x14ac:dyDescent="0.5">
      <c r="A24" s="48" t="s">
        <v>3</v>
      </c>
      <c r="B24" s="47" t="s">
        <v>28</v>
      </c>
      <c r="C24" s="281">
        <v>8</v>
      </c>
      <c r="D24" s="281">
        <v>20</v>
      </c>
      <c r="E24" s="281">
        <v>10</v>
      </c>
      <c r="F24" s="281">
        <v>4</v>
      </c>
      <c r="G24" s="281" t="s">
        <v>559</v>
      </c>
      <c r="H24" s="281">
        <v>3</v>
      </c>
      <c r="I24" s="281">
        <v>5</v>
      </c>
      <c r="J24" s="281">
        <v>3</v>
      </c>
      <c r="K24" s="282">
        <v>4</v>
      </c>
    </row>
    <row r="25" spans="1:11" x14ac:dyDescent="0.5">
      <c r="A25" s="48" t="s">
        <v>75</v>
      </c>
      <c r="B25" s="47" t="s">
        <v>29</v>
      </c>
      <c r="C25" s="283">
        <v>8</v>
      </c>
      <c r="D25" s="283">
        <v>15</v>
      </c>
      <c r="E25" s="283">
        <v>3</v>
      </c>
      <c r="F25" s="283">
        <v>4</v>
      </c>
      <c r="G25" s="283">
        <v>3</v>
      </c>
      <c r="H25" s="283" t="s">
        <v>559</v>
      </c>
      <c r="I25" s="283">
        <v>2</v>
      </c>
      <c r="J25" s="283">
        <v>4</v>
      </c>
      <c r="K25" s="284">
        <v>1</v>
      </c>
    </row>
    <row r="26" spans="1:11" x14ac:dyDescent="0.5">
      <c r="A26" s="48" t="s">
        <v>3</v>
      </c>
      <c r="B26" s="47" t="s">
        <v>30</v>
      </c>
      <c r="C26" s="281">
        <v>10</v>
      </c>
      <c r="D26" s="281">
        <v>15</v>
      </c>
      <c r="E26" s="281">
        <v>7</v>
      </c>
      <c r="F26" s="281">
        <v>10</v>
      </c>
      <c r="G26" s="281" t="s">
        <v>559</v>
      </c>
      <c r="H26" s="281">
        <v>2</v>
      </c>
      <c r="I26" s="281" t="s">
        <v>559</v>
      </c>
      <c r="J26" s="281" t="s">
        <v>559</v>
      </c>
      <c r="K26" s="282">
        <v>3</v>
      </c>
    </row>
    <row r="27" spans="1:11" x14ac:dyDescent="0.5">
      <c r="A27" s="48" t="s">
        <v>3</v>
      </c>
      <c r="B27" s="47" t="s">
        <v>49</v>
      </c>
      <c r="C27" s="283">
        <v>10</v>
      </c>
      <c r="D27" s="283"/>
      <c r="E27" s="283">
        <v>4</v>
      </c>
      <c r="F27" s="283">
        <v>5</v>
      </c>
      <c r="G27" s="283">
        <v>3</v>
      </c>
      <c r="H27" s="283">
        <v>2</v>
      </c>
      <c r="I27" s="283" t="s">
        <v>559</v>
      </c>
      <c r="J27" s="283">
        <v>2</v>
      </c>
      <c r="K27" s="284">
        <v>2</v>
      </c>
    </row>
    <row r="28" spans="1:11" x14ac:dyDescent="0.5">
      <c r="A28" s="48" t="s">
        <v>4</v>
      </c>
      <c r="B28" s="47" t="s">
        <v>50</v>
      </c>
      <c r="C28" s="281">
        <v>7</v>
      </c>
      <c r="D28" s="281">
        <v>15</v>
      </c>
      <c r="E28" s="281">
        <v>4</v>
      </c>
      <c r="F28" s="281">
        <v>5</v>
      </c>
      <c r="G28" s="281">
        <v>3</v>
      </c>
      <c r="H28" s="281" t="s">
        <v>559</v>
      </c>
      <c r="I28" s="281">
        <v>2</v>
      </c>
      <c r="J28" s="281" t="s">
        <v>559</v>
      </c>
      <c r="K28" s="282">
        <v>2</v>
      </c>
    </row>
    <row r="29" spans="1:11" x14ac:dyDescent="0.5">
      <c r="A29" s="48" t="s">
        <v>6</v>
      </c>
      <c r="B29" s="47" t="s">
        <v>552</v>
      </c>
      <c r="C29" s="283">
        <v>8</v>
      </c>
      <c r="D29" s="283">
        <v>17</v>
      </c>
      <c r="E29" s="283">
        <v>8</v>
      </c>
      <c r="F29" s="283">
        <v>5</v>
      </c>
      <c r="G29" s="283">
        <v>2</v>
      </c>
      <c r="H29" s="283">
        <v>3</v>
      </c>
      <c r="I29" s="283">
        <v>4</v>
      </c>
      <c r="J29" s="283">
        <v>3</v>
      </c>
      <c r="K29" s="284">
        <v>3</v>
      </c>
    </row>
    <row r="30" spans="1:11" x14ac:dyDescent="0.5">
      <c r="A30" s="48"/>
      <c r="B30" s="47"/>
      <c r="C30" s="281"/>
      <c r="D30" s="281"/>
      <c r="E30" s="281"/>
      <c r="F30" s="281"/>
      <c r="G30" s="281"/>
      <c r="H30" s="281"/>
      <c r="I30" s="281"/>
      <c r="J30" s="281"/>
      <c r="K30" s="282"/>
    </row>
    <row r="31" spans="1:11" x14ac:dyDescent="0.5">
      <c r="A31" s="46" t="s">
        <v>34</v>
      </c>
      <c r="B31" s="47"/>
      <c r="C31" s="283"/>
      <c r="D31" s="283"/>
      <c r="E31" s="283"/>
      <c r="F31" s="283"/>
      <c r="G31" s="283"/>
      <c r="H31" s="283"/>
      <c r="I31" s="283"/>
      <c r="J31" s="283"/>
      <c r="K31" s="284"/>
    </row>
    <row r="32" spans="1:11" x14ac:dyDescent="0.5">
      <c r="A32" s="48" t="s">
        <v>68</v>
      </c>
      <c r="B32" s="47" t="s">
        <v>31</v>
      </c>
      <c r="C32" s="281">
        <v>7</v>
      </c>
      <c r="D32" s="281">
        <v>10</v>
      </c>
      <c r="E32" s="359" t="s">
        <v>555</v>
      </c>
      <c r="F32" s="281">
        <v>4</v>
      </c>
      <c r="G32" s="281" t="s">
        <v>559</v>
      </c>
      <c r="H32" s="281">
        <v>3</v>
      </c>
      <c r="I32" s="281">
        <v>7</v>
      </c>
      <c r="J32" s="281">
        <v>6</v>
      </c>
      <c r="K32" s="360" t="s">
        <v>555</v>
      </c>
    </row>
    <row r="33" spans="1:11" x14ac:dyDescent="0.5">
      <c r="A33" s="48" t="s">
        <v>69</v>
      </c>
      <c r="B33" s="47" t="s">
        <v>35</v>
      </c>
      <c r="C33" s="283">
        <v>10</v>
      </c>
      <c r="D33" s="283">
        <v>15</v>
      </c>
      <c r="E33" s="283">
        <v>15</v>
      </c>
      <c r="F33" s="283" t="s">
        <v>559</v>
      </c>
      <c r="G33" s="283">
        <v>4</v>
      </c>
      <c r="H33" s="283">
        <v>3</v>
      </c>
      <c r="I33" s="283">
        <v>10</v>
      </c>
      <c r="J33" s="283">
        <v>6</v>
      </c>
      <c r="K33" s="284">
        <v>10</v>
      </c>
    </row>
    <row r="34" spans="1:11" x14ac:dyDescent="0.5">
      <c r="A34" s="48" t="s">
        <v>70</v>
      </c>
      <c r="B34" s="47" t="s">
        <v>36</v>
      </c>
      <c r="C34" s="281">
        <v>8</v>
      </c>
      <c r="D34" s="281">
        <v>10</v>
      </c>
      <c r="E34" s="281">
        <v>10</v>
      </c>
      <c r="F34" s="281" t="s">
        <v>559</v>
      </c>
      <c r="G34" s="281" t="s">
        <v>559</v>
      </c>
      <c r="H34" s="281">
        <v>3</v>
      </c>
      <c r="I34" s="281">
        <v>8</v>
      </c>
      <c r="J34" s="281">
        <v>6</v>
      </c>
      <c r="K34" s="282">
        <v>8</v>
      </c>
    </row>
    <row r="35" spans="1:11" x14ac:dyDescent="0.5">
      <c r="A35" s="48" t="s">
        <v>68</v>
      </c>
      <c r="B35" s="47" t="s">
        <v>37</v>
      </c>
      <c r="C35" s="283">
        <v>6</v>
      </c>
      <c r="D35" s="283">
        <v>5</v>
      </c>
      <c r="E35" s="283">
        <v>7</v>
      </c>
      <c r="F35" s="283">
        <v>2</v>
      </c>
      <c r="G35" s="283">
        <v>1</v>
      </c>
      <c r="H35" s="283">
        <v>3</v>
      </c>
      <c r="I35" s="283">
        <v>5</v>
      </c>
      <c r="J35" s="283">
        <v>5</v>
      </c>
      <c r="K35" s="284">
        <v>5</v>
      </c>
    </row>
    <row r="36" spans="1:11" x14ac:dyDescent="0.5">
      <c r="A36" s="48" t="s">
        <v>71</v>
      </c>
      <c r="B36" s="47" t="s">
        <v>553</v>
      </c>
      <c r="C36" s="281">
        <v>8</v>
      </c>
      <c r="D36" s="281">
        <v>10</v>
      </c>
      <c r="E36" s="281">
        <v>10</v>
      </c>
      <c r="F36" s="281">
        <v>3</v>
      </c>
      <c r="G36" s="281">
        <v>2</v>
      </c>
      <c r="H36" s="281">
        <v>3</v>
      </c>
      <c r="I36" s="281">
        <v>8</v>
      </c>
      <c r="J36" s="281">
        <v>6</v>
      </c>
      <c r="K36" s="282">
        <v>8</v>
      </c>
    </row>
    <row r="37" spans="1:11" x14ac:dyDescent="0.5">
      <c r="A37" s="48"/>
      <c r="B37" s="47"/>
      <c r="C37" s="283"/>
      <c r="D37" s="283"/>
      <c r="E37" s="283"/>
      <c r="F37" s="283"/>
      <c r="G37" s="283"/>
      <c r="H37" s="283"/>
      <c r="I37" s="283"/>
      <c r="J37" s="283"/>
      <c r="K37" s="284"/>
    </row>
    <row r="38" spans="1:11" x14ac:dyDescent="0.5">
      <c r="A38" s="46" t="s">
        <v>38</v>
      </c>
      <c r="B38" s="47"/>
      <c r="C38" s="281"/>
      <c r="D38" s="281"/>
      <c r="E38" s="281"/>
      <c r="F38" s="281"/>
      <c r="G38" s="281"/>
      <c r="H38" s="281"/>
      <c r="I38" s="281"/>
      <c r="J38" s="281"/>
      <c r="K38" s="282"/>
    </row>
    <row r="39" spans="1:11" x14ac:dyDescent="0.5">
      <c r="A39" s="48" t="s">
        <v>1</v>
      </c>
      <c r="B39" s="47" t="s">
        <v>508</v>
      </c>
      <c r="C39" s="283" t="s">
        <v>560</v>
      </c>
      <c r="D39" s="283" t="s">
        <v>560</v>
      </c>
      <c r="E39" s="283" t="s">
        <v>560</v>
      </c>
      <c r="F39" s="283" t="s">
        <v>560</v>
      </c>
      <c r="G39" s="283" t="s">
        <v>560</v>
      </c>
      <c r="H39" s="283" t="s">
        <v>560</v>
      </c>
      <c r="I39" s="283">
        <v>3</v>
      </c>
      <c r="J39" s="283">
        <v>2</v>
      </c>
      <c r="K39" s="284" t="s">
        <v>560</v>
      </c>
    </row>
    <row r="40" spans="1:11" x14ac:dyDescent="0.5">
      <c r="A40" s="48" t="s">
        <v>1</v>
      </c>
      <c r="B40" s="47" t="s">
        <v>275</v>
      </c>
      <c r="C40" s="281" t="s">
        <v>560</v>
      </c>
      <c r="D40" s="281" t="s">
        <v>560</v>
      </c>
      <c r="E40" s="281" t="s">
        <v>560</v>
      </c>
      <c r="F40" s="281" t="s">
        <v>560</v>
      </c>
      <c r="G40" s="281" t="s">
        <v>560</v>
      </c>
      <c r="H40" s="281" t="s">
        <v>560</v>
      </c>
      <c r="I40" s="281">
        <v>3</v>
      </c>
      <c r="J40" s="281">
        <v>2</v>
      </c>
      <c r="K40" s="282" t="s">
        <v>560</v>
      </c>
    </row>
    <row r="41" spans="1:11" x14ac:dyDescent="0.5">
      <c r="A41" s="48" t="s">
        <v>72</v>
      </c>
      <c r="B41" s="47" t="s">
        <v>42</v>
      </c>
      <c r="C41" s="283" t="s">
        <v>560</v>
      </c>
      <c r="D41" s="283" t="s">
        <v>560</v>
      </c>
      <c r="E41" s="283" t="s">
        <v>560</v>
      </c>
      <c r="F41" s="283">
        <v>5</v>
      </c>
      <c r="G41" s="283" t="s">
        <v>557</v>
      </c>
      <c r="H41" s="283" t="s">
        <v>557</v>
      </c>
      <c r="I41" s="283" t="s">
        <v>555</v>
      </c>
      <c r="J41" s="283">
        <v>8</v>
      </c>
      <c r="K41" s="284" t="s">
        <v>560</v>
      </c>
    </row>
    <row r="42" spans="1:11" x14ac:dyDescent="0.5">
      <c r="A42" s="48" t="s">
        <v>73</v>
      </c>
      <c r="B42" s="47" t="s">
        <v>43</v>
      </c>
      <c r="C42" s="281" t="s">
        <v>557</v>
      </c>
      <c r="D42" s="281" t="s">
        <v>562</v>
      </c>
      <c r="E42" s="281" t="s">
        <v>557</v>
      </c>
      <c r="F42" s="281">
        <v>10</v>
      </c>
      <c r="G42" s="281">
        <v>7</v>
      </c>
      <c r="H42" s="281">
        <v>5</v>
      </c>
      <c r="I42" s="281" t="s">
        <v>555</v>
      </c>
      <c r="J42" s="281" t="s">
        <v>555</v>
      </c>
      <c r="K42" s="282">
        <v>3</v>
      </c>
    </row>
    <row r="43" spans="1:11" x14ac:dyDescent="0.5">
      <c r="A43" s="48" t="s">
        <v>0</v>
      </c>
      <c r="B43" s="47" t="s">
        <v>44</v>
      </c>
      <c r="C43" s="283" t="s">
        <v>561</v>
      </c>
      <c r="D43" s="283">
        <v>4</v>
      </c>
      <c r="E43" s="283">
        <v>5</v>
      </c>
      <c r="F43" s="283" t="s">
        <v>555</v>
      </c>
      <c r="G43" s="283" t="s">
        <v>555</v>
      </c>
      <c r="H43" s="283">
        <v>10</v>
      </c>
      <c r="I43" s="283" t="s">
        <v>555</v>
      </c>
      <c r="J43" s="283" t="s">
        <v>555</v>
      </c>
      <c r="K43" s="284">
        <v>5</v>
      </c>
    </row>
    <row r="44" spans="1:11" x14ac:dyDescent="0.5">
      <c r="A44" s="48" t="s">
        <v>74</v>
      </c>
      <c r="B44" s="47" t="s">
        <v>45</v>
      </c>
      <c r="C44" s="281">
        <v>7</v>
      </c>
      <c r="D44" s="281" t="s">
        <v>555</v>
      </c>
      <c r="E44" s="281">
        <v>7</v>
      </c>
      <c r="F44" s="281" t="s">
        <v>555</v>
      </c>
      <c r="G44" s="281" t="s">
        <v>555</v>
      </c>
      <c r="H44" s="281" t="s">
        <v>555</v>
      </c>
      <c r="I44" s="281" t="s">
        <v>555</v>
      </c>
      <c r="J44" s="281" t="s">
        <v>555</v>
      </c>
      <c r="K44" s="282">
        <v>7</v>
      </c>
    </row>
    <row r="45" spans="1:11" x14ac:dyDescent="0.5">
      <c r="A45" s="48" t="s">
        <v>0</v>
      </c>
      <c r="B45" s="47" t="s">
        <v>46</v>
      </c>
      <c r="C45" s="283">
        <v>1</v>
      </c>
      <c r="D45" s="283">
        <v>1</v>
      </c>
      <c r="E45" s="283">
        <v>2</v>
      </c>
      <c r="F45" s="283" t="s">
        <v>555</v>
      </c>
      <c r="G45" s="283" t="s">
        <v>555</v>
      </c>
      <c r="H45" s="283" t="s">
        <v>555</v>
      </c>
      <c r="I45" s="283" t="s">
        <v>555</v>
      </c>
      <c r="J45" s="283" t="s">
        <v>555</v>
      </c>
      <c r="K45" s="284" t="s">
        <v>555</v>
      </c>
    </row>
    <row r="46" spans="1:11" x14ac:dyDescent="0.5">
      <c r="A46" s="48" t="s">
        <v>0</v>
      </c>
      <c r="B46" s="47" t="s">
        <v>47</v>
      </c>
      <c r="C46" s="281">
        <v>1</v>
      </c>
      <c r="D46" s="281" t="s">
        <v>555</v>
      </c>
      <c r="E46" s="281">
        <v>1</v>
      </c>
      <c r="F46" s="281" t="s">
        <v>555</v>
      </c>
      <c r="G46" s="281" t="s">
        <v>555</v>
      </c>
      <c r="H46" s="281">
        <v>4</v>
      </c>
      <c r="I46" s="281" t="s">
        <v>555</v>
      </c>
      <c r="J46" s="281" t="s">
        <v>555</v>
      </c>
      <c r="K46" s="282">
        <v>1</v>
      </c>
    </row>
    <row r="47" spans="1:11" x14ac:dyDescent="0.5">
      <c r="A47" s="48"/>
      <c r="B47" s="47"/>
      <c r="C47" s="283"/>
      <c r="D47" s="283"/>
      <c r="E47" s="283"/>
      <c r="F47" s="283"/>
      <c r="G47" s="283"/>
      <c r="H47" s="283"/>
      <c r="I47" s="283"/>
      <c r="J47" s="283"/>
      <c r="K47" s="284"/>
    </row>
    <row r="48" spans="1:11" x14ac:dyDescent="0.5">
      <c r="A48" s="46" t="s">
        <v>48</v>
      </c>
      <c r="B48" s="47"/>
      <c r="C48" s="281"/>
      <c r="D48" s="281"/>
      <c r="E48" s="281"/>
      <c r="F48" s="281"/>
      <c r="G48" s="281"/>
      <c r="H48" s="281"/>
      <c r="I48" s="281"/>
      <c r="J48" s="281"/>
      <c r="K48" s="282"/>
    </row>
    <row r="49" spans="1:15" x14ac:dyDescent="0.5">
      <c r="A49" s="48" t="s">
        <v>3</v>
      </c>
      <c r="B49" s="47" t="s">
        <v>51</v>
      </c>
      <c r="C49" s="283" t="s">
        <v>55</v>
      </c>
      <c r="D49" s="283" t="s">
        <v>555</v>
      </c>
      <c r="E49" s="283" t="s">
        <v>555</v>
      </c>
      <c r="F49" s="283" t="s">
        <v>55</v>
      </c>
      <c r="G49" s="283" t="s">
        <v>55</v>
      </c>
      <c r="H49" s="283" t="s">
        <v>58</v>
      </c>
      <c r="I49" s="283" t="s">
        <v>59</v>
      </c>
      <c r="J49" s="283" t="s">
        <v>54</v>
      </c>
      <c r="K49" s="284" t="s">
        <v>555</v>
      </c>
    </row>
    <row r="50" spans="1:15" x14ac:dyDescent="0.5">
      <c r="A50" s="48" t="s">
        <v>4</v>
      </c>
      <c r="B50" s="47" t="s">
        <v>53</v>
      </c>
      <c r="C50" s="281" t="s">
        <v>56</v>
      </c>
      <c r="D50" s="281" t="s">
        <v>555</v>
      </c>
      <c r="E50" s="281" t="s">
        <v>555</v>
      </c>
      <c r="F50" s="281" t="s">
        <v>56</v>
      </c>
      <c r="G50" s="281" t="s">
        <v>55</v>
      </c>
      <c r="H50" s="281" t="s">
        <v>58</v>
      </c>
      <c r="I50" s="281" t="s">
        <v>54</v>
      </c>
      <c r="J50" s="281" t="s">
        <v>59</v>
      </c>
      <c r="K50" s="282" t="s">
        <v>555</v>
      </c>
    </row>
    <row r="51" spans="1:15" x14ac:dyDescent="0.5">
      <c r="A51" s="48" t="s">
        <v>7</v>
      </c>
      <c r="B51" s="47" t="s">
        <v>52</v>
      </c>
      <c r="C51" s="283" t="s">
        <v>57</v>
      </c>
      <c r="D51" s="283" t="s">
        <v>555</v>
      </c>
      <c r="E51" s="283" t="s">
        <v>261</v>
      </c>
      <c r="F51" s="283" t="s">
        <v>57</v>
      </c>
      <c r="G51" s="283" t="s">
        <v>555</v>
      </c>
      <c r="H51" s="283" t="s">
        <v>555</v>
      </c>
      <c r="I51" s="283" t="s">
        <v>555</v>
      </c>
      <c r="J51" s="283" t="s">
        <v>555</v>
      </c>
      <c r="K51" s="284" t="s">
        <v>60</v>
      </c>
      <c r="O51" s="2"/>
    </row>
    <row r="52" spans="1:15" x14ac:dyDescent="0.5">
      <c r="A52" s="48" t="s">
        <v>7</v>
      </c>
      <c r="B52" s="47" t="s">
        <v>146</v>
      </c>
      <c r="C52" s="281" t="s">
        <v>555</v>
      </c>
      <c r="D52" s="281" t="s">
        <v>555</v>
      </c>
      <c r="E52" s="281" t="s">
        <v>259</v>
      </c>
      <c r="F52" s="281" t="s">
        <v>555</v>
      </c>
      <c r="G52" s="281" t="s">
        <v>555</v>
      </c>
      <c r="H52" s="281" t="s">
        <v>555</v>
      </c>
      <c r="I52" s="281" t="s">
        <v>555</v>
      </c>
      <c r="J52" s="281" t="s">
        <v>555</v>
      </c>
      <c r="K52" s="282" t="s">
        <v>555</v>
      </c>
      <c r="O52" s="2"/>
    </row>
    <row r="53" spans="1:15" x14ac:dyDescent="0.5">
      <c r="A53" s="48" t="s">
        <v>3</v>
      </c>
      <c r="B53" s="47" t="s">
        <v>147</v>
      </c>
      <c r="C53" s="283" t="s">
        <v>555</v>
      </c>
      <c r="D53" s="283" t="s">
        <v>555</v>
      </c>
      <c r="E53" s="283" t="s">
        <v>555</v>
      </c>
      <c r="F53" s="283" t="s">
        <v>259</v>
      </c>
      <c r="G53" s="283" t="s">
        <v>555</v>
      </c>
      <c r="H53" s="283" t="s">
        <v>555</v>
      </c>
      <c r="I53" s="283" t="s">
        <v>555</v>
      </c>
      <c r="J53" s="283" t="s">
        <v>555</v>
      </c>
      <c r="K53" s="284" t="s">
        <v>555</v>
      </c>
      <c r="O53" s="2"/>
    </row>
    <row r="54" spans="1:15" x14ac:dyDescent="0.5">
      <c r="A54" s="48" t="s">
        <v>4</v>
      </c>
      <c r="B54" s="47" t="s">
        <v>245</v>
      </c>
      <c r="C54" s="281" t="s">
        <v>555</v>
      </c>
      <c r="D54" s="281" t="s">
        <v>555</v>
      </c>
      <c r="E54" s="281" t="s">
        <v>555</v>
      </c>
      <c r="F54" s="281" t="s">
        <v>555</v>
      </c>
      <c r="G54" s="281" t="s">
        <v>555</v>
      </c>
      <c r="H54" s="281" t="s">
        <v>260</v>
      </c>
      <c r="I54" s="281" t="s">
        <v>555</v>
      </c>
      <c r="J54" s="281" t="s">
        <v>555</v>
      </c>
      <c r="K54" s="282" t="s">
        <v>555</v>
      </c>
      <c r="O54" s="2"/>
    </row>
    <row r="55" spans="1:15" x14ac:dyDescent="0.5">
      <c r="C55"/>
      <c r="D55"/>
      <c r="E55"/>
      <c r="F55"/>
      <c r="G55"/>
      <c r="H55"/>
      <c r="I55"/>
      <c r="J55"/>
      <c r="K55"/>
    </row>
  </sheetData>
  <sortState xmlns:xlrd2="http://schemas.microsoft.com/office/spreadsheetml/2017/richdata2" ref="A58:AO76">
    <sortCondition ref="B58:B76"/>
    <sortCondition ref="A58:A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58A79-5041-4A95-95C4-7D4869BA4CE6}">
  <sheetPr codeName="Sheet11"/>
  <dimension ref="A1:AO20"/>
  <sheetViews>
    <sheetView zoomScale="194" zoomScaleNormal="194" workbookViewId="0">
      <pane xSplit="2" ySplit="1" topLeftCell="C7" activePane="bottomRight" state="frozen"/>
      <selection pane="topRight" activeCell="C1" sqref="C1"/>
      <selection pane="bottomLeft" activeCell="A2" sqref="A2"/>
      <selection pane="bottomRight" activeCell="B15" sqref="B15"/>
    </sheetView>
  </sheetViews>
  <sheetFormatPr defaultRowHeight="14.1" x14ac:dyDescent="0.5"/>
  <cols>
    <col min="1" max="1" width="13.6640625" bestFit="1" customWidth="1"/>
    <col min="2" max="2" width="11.33203125" customWidth="1"/>
    <col min="3" max="4" width="7.88671875" bestFit="1" customWidth="1"/>
    <col min="5" max="6" width="9.109375" bestFit="1" customWidth="1"/>
    <col min="7" max="8" width="7.88671875" bestFit="1" customWidth="1"/>
    <col min="9" max="9" width="9.109375" bestFit="1" customWidth="1"/>
    <col min="10" max="10" width="6" bestFit="1" customWidth="1"/>
    <col min="12" max="12" width="9.109375" bestFit="1" customWidth="1"/>
    <col min="13" max="13" width="6.33203125" bestFit="1" customWidth="1"/>
    <col min="14" max="14" width="5.44140625" bestFit="1" customWidth="1"/>
    <col min="15" max="15" width="5.88671875" bestFit="1" customWidth="1"/>
    <col min="16" max="17" width="6.21875" bestFit="1" customWidth="1"/>
    <col min="18" max="18" width="4.77734375" bestFit="1" customWidth="1"/>
    <col min="19" max="19" width="5.88671875" bestFit="1" customWidth="1"/>
    <col min="20" max="20" width="6.44140625" bestFit="1" customWidth="1"/>
    <col min="21" max="21" width="8.77734375" bestFit="1" customWidth="1"/>
    <col min="22" max="22" width="6.109375" bestFit="1" customWidth="1"/>
    <col min="23" max="23" width="5.88671875" bestFit="1" customWidth="1"/>
    <col min="24" max="24" width="9.5546875" customWidth="1"/>
    <col min="25" max="26" width="8.6640625" bestFit="1" customWidth="1"/>
    <col min="27" max="27" width="8.109375" bestFit="1" customWidth="1"/>
    <col min="28" max="28" width="9.21875" bestFit="1" customWidth="1"/>
    <col min="29" max="29" width="7.6640625" bestFit="1" customWidth="1"/>
    <col min="30" max="30" width="8.5546875" bestFit="1" customWidth="1"/>
    <col min="31" max="31" width="6.88671875" bestFit="1" customWidth="1"/>
    <col min="32" max="32" width="9.21875" bestFit="1" customWidth="1"/>
    <col min="33" max="33" width="8.77734375" bestFit="1" customWidth="1"/>
    <col min="34" max="34" width="9.6640625" customWidth="1"/>
    <col min="35" max="35" width="11.88671875" customWidth="1"/>
    <col min="36" max="36" width="11.5546875" customWidth="1"/>
    <col min="37" max="37" width="9.44140625" customWidth="1"/>
    <col min="38" max="38" width="7.21875" bestFit="1" customWidth="1"/>
    <col min="39" max="39" width="8.77734375" bestFit="1" customWidth="1"/>
    <col min="40" max="40" width="9.77734375" customWidth="1"/>
    <col min="41" max="41" width="5.88671875" bestFit="1" customWidth="1"/>
  </cols>
  <sheetData>
    <row r="1" spans="1:41" s="334" customFormat="1" ht="28.5" thickBot="1" x14ac:dyDescent="0.55000000000000004">
      <c r="A1" s="329" t="s">
        <v>384</v>
      </c>
      <c r="B1" s="330" t="s">
        <v>403</v>
      </c>
      <c r="C1" s="331" t="s">
        <v>538</v>
      </c>
      <c r="D1" s="332" t="s">
        <v>539</v>
      </c>
      <c r="E1" s="332" t="s">
        <v>540</v>
      </c>
      <c r="F1" s="332" t="s">
        <v>541</v>
      </c>
      <c r="G1" s="332" t="s">
        <v>545</v>
      </c>
      <c r="H1" s="332" t="s">
        <v>546</v>
      </c>
      <c r="I1" s="332" t="s">
        <v>264</v>
      </c>
      <c r="J1" s="332" t="s">
        <v>275</v>
      </c>
      <c r="K1" s="332" t="s">
        <v>42</v>
      </c>
      <c r="L1" s="332" t="s">
        <v>43</v>
      </c>
      <c r="M1" s="332" t="s">
        <v>44</v>
      </c>
      <c r="N1" s="332" t="s">
        <v>45</v>
      </c>
      <c r="O1" s="332" t="s">
        <v>46</v>
      </c>
      <c r="P1" s="332" t="s">
        <v>47</v>
      </c>
      <c r="Q1" s="332" t="s">
        <v>502</v>
      </c>
      <c r="R1" s="332" t="s">
        <v>425</v>
      </c>
      <c r="S1" s="332" t="s">
        <v>426</v>
      </c>
      <c r="T1" s="332" t="s">
        <v>427</v>
      </c>
      <c r="U1" s="332" t="s">
        <v>551</v>
      </c>
      <c r="V1" s="332" t="s">
        <v>27</v>
      </c>
      <c r="W1" s="332" t="s">
        <v>28</v>
      </c>
      <c r="X1" s="332" t="s">
        <v>536</v>
      </c>
      <c r="Y1" s="332" t="s">
        <v>547</v>
      </c>
      <c r="Z1" s="332" t="s">
        <v>49</v>
      </c>
      <c r="AA1" s="332" t="s">
        <v>50</v>
      </c>
      <c r="AB1" s="332" t="s">
        <v>552</v>
      </c>
      <c r="AC1" s="332" t="s">
        <v>31</v>
      </c>
      <c r="AD1" s="332" t="s">
        <v>35</v>
      </c>
      <c r="AE1" s="332" t="s">
        <v>36</v>
      </c>
      <c r="AF1" s="332" t="s">
        <v>37</v>
      </c>
      <c r="AG1" s="332" t="s">
        <v>553</v>
      </c>
      <c r="AH1" s="332" t="s">
        <v>20</v>
      </c>
      <c r="AI1" s="332" t="s">
        <v>21</v>
      </c>
      <c r="AJ1" s="332" t="s">
        <v>516</v>
      </c>
      <c r="AK1" s="332" t="s">
        <v>53</v>
      </c>
      <c r="AL1" s="332" t="s">
        <v>85</v>
      </c>
      <c r="AM1" s="332" t="s">
        <v>147</v>
      </c>
      <c r="AN1" s="332" t="s">
        <v>146</v>
      </c>
      <c r="AO1" s="333" t="s">
        <v>245</v>
      </c>
    </row>
    <row r="2" spans="1:41" ht="14.7" thickTop="1" thickBot="1" x14ac:dyDescent="0.55000000000000004">
      <c r="A2" s="268" t="s">
        <v>400</v>
      </c>
      <c r="B2" s="49" t="s">
        <v>16</v>
      </c>
      <c r="C2" s="269">
        <v>1</v>
      </c>
      <c r="D2" s="270">
        <v>1</v>
      </c>
      <c r="E2" s="270">
        <v>1</v>
      </c>
      <c r="F2" s="270">
        <v>1</v>
      </c>
      <c r="G2" s="270">
        <v>0</v>
      </c>
      <c r="H2" s="270">
        <v>0</v>
      </c>
      <c r="I2" s="270">
        <v>0</v>
      </c>
      <c r="J2" s="270">
        <v>1</v>
      </c>
      <c r="K2" s="270">
        <v>0</v>
      </c>
      <c r="L2" s="270">
        <v>0</v>
      </c>
      <c r="M2" s="270">
        <v>0</v>
      </c>
      <c r="N2" s="270">
        <v>0</v>
      </c>
      <c r="O2" s="270">
        <v>0</v>
      </c>
      <c r="P2" s="270">
        <v>0</v>
      </c>
      <c r="Q2" s="270">
        <v>0</v>
      </c>
      <c r="R2" s="270">
        <v>0</v>
      </c>
      <c r="S2" s="270">
        <v>0</v>
      </c>
      <c r="T2" s="270">
        <v>0</v>
      </c>
      <c r="U2" s="270">
        <v>2</v>
      </c>
      <c r="V2" s="270">
        <v>0</v>
      </c>
      <c r="W2" s="270">
        <v>0</v>
      </c>
      <c r="X2" s="270">
        <v>3</v>
      </c>
      <c r="Y2" s="270">
        <v>0</v>
      </c>
      <c r="Z2" s="270">
        <v>0</v>
      </c>
      <c r="AA2" s="270">
        <v>0</v>
      </c>
      <c r="AB2" s="270">
        <v>1</v>
      </c>
      <c r="AC2" s="270">
        <v>1</v>
      </c>
      <c r="AD2" s="270">
        <v>0</v>
      </c>
      <c r="AE2" s="270">
        <v>0</v>
      </c>
      <c r="AF2" s="270">
        <v>1</v>
      </c>
      <c r="AG2" s="270">
        <v>1</v>
      </c>
      <c r="AH2" s="270">
        <v>3</v>
      </c>
      <c r="AI2" s="270">
        <v>1</v>
      </c>
      <c r="AJ2" s="270">
        <v>0</v>
      </c>
      <c r="AK2" s="270">
        <v>0</v>
      </c>
      <c r="AL2" s="270">
        <v>0</v>
      </c>
      <c r="AM2" s="270">
        <v>0</v>
      </c>
      <c r="AN2" s="270">
        <v>0</v>
      </c>
      <c r="AO2" s="271">
        <v>0</v>
      </c>
    </row>
    <row r="3" spans="1:41" ht="14.7" thickTop="1" thickBot="1" x14ac:dyDescent="0.55000000000000004">
      <c r="A3" s="268" t="s">
        <v>389</v>
      </c>
      <c r="B3" s="49" t="s">
        <v>16</v>
      </c>
      <c r="C3" s="272">
        <v>4</v>
      </c>
      <c r="D3" s="273">
        <v>0</v>
      </c>
      <c r="E3" s="273">
        <v>2</v>
      </c>
      <c r="F3" s="273">
        <v>0</v>
      </c>
      <c r="G3" s="325">
        <v>0</v>
      </c>
      <c r="H3" s="325">
        <v>0</v>
      </c>
      <c r="I3" s="273">
        <v>0</v>
      </c>
      <c r="J3" s="273">
        <v>0</v>
      </c>
      <c r="K3" s="273">
        <v>2</v>
      </c>
      <c r="L3" s="273">
        <v>0</v>
      </c>
      <c r="M3" s="273">
        <v>0</v>
      </c>
      <c r="N3" s="273">
        <v>0</v>
      </c>
      <c r="O3" s="273">
        <v>0</v>
      </c>
      <c r="P3" s="273">
        <v>0</v>
      </c>
      <c r="Q3" s="273">
        <v>1</v>
      </c>
      <c r="R3" s="273">
        <v>1</v>
      </c>
      <c r="S3" s="273">
        <v>0</v>
      </c>
      <c r="T3" s="273">
        <v>0</v>
      </c>
      <c r="U3" s="273">
        <v>2</v>
      </c>
      <c r="V3" s="273">
        <v>0</v>
      </c>
      <c r="W3" s="273">
        <v>0</v>
      </c>
      <c r="X3" s="273">
        <v>0</v>
      </c>
      <c r="Y3" s="273">
        <v>1</v>
      </c>
      <c r="Z3" s="273">
        <v>0</v>
      </c>
      <c r="AA3" s="273">
        <v>0</v>
      </c>
      <c r="AB3" s="273">
        <v>1</v>
      </c>
      <c r="AC3" s="273">
        <v>0</v>
      </c>
      <c r="AD3" s="273">
        <v>0</v>
      </c>
      <c r="AE3" s="273">
        <v>0</v>
      </c>
      <c r="AF3" s="273">
        <v>3</v>
      </c>
      <c r="AG3" s="273">
        <v>1</v>
      </c>
      <c r="AH3" s="273">
        <v>0</v>
      </c>
      <c r="AI3" s="273">
        <v>1</v>
      </c>
      <c r="AJ3" s="273">
        <v>0</v>
      </c>
      <c r="AK3" s="273">
        <v>0</v>
      </c>
      <c r="AL3" s="273">
        <v>0</v>
      </c>
      <c r="AM3" s="273">
        <v>0</v>
      </c>
      <c r="AN3" s="273">
        <v>0</v>
      </c>
      <c r="AO3" s="274">
        <v>0</v>
      </c>
    </row>
    <row r="4" spans="1:41" ht="14.7" thickTop="1" thickBot="1" x14ac:dyDescent="0.55000000000000004">
      <c r="A4" s="268" t="s">
        <v>398</v>
      </c>
      <c r="B4" s="49" t="s">
        <v>16</v>
      </c>
      <c r="C4" s="275">
        <v>1</v>
      </c>
      <c r="D4" s="276">
        <v>1</v>
      </c>
      <c r="E4" s="276">
        <v>1</v>
      </c>
      <c r="F4" s="276">
        <v>1</v>
      </c>
      <c r="G4" s="270">
        <v>0</v>
      </c>
      <c r="H4" s="270">
        <v>0</v>
      </c>
      <c r="I4" s="276">
        <v>1</v>
      </c>
      <c r="J4" s="276">
        <v>0</v>
      </c>
      <c r="K4" s="276">
        <v>0</v>
      </c>
      <c r="L4" s="276">
        <v>1</v>
      </c>
      <c r="M4" s="276">
        <v>0</v>
      </c>
      <c r="N4" s="276">
        <v>0</v>
      </c>
      <c r="O4" s="276">
        <v>0</v>
      </c>
      <c r="P4" s="276">
        <v>0</v>
      </c>
      <c r="Q4" s="276">
        <v>0</v>
      </c>
      <c r="R4" s="276">
        <v>0</v>
      </c>
      <c r="S4" s="276">
        <v>0</v>
      </c>
      <c r="T4" s="276">
        <v>0</v>
      </c>
      <c r="U4" s="276">
        <v>1</v>
      </c>
      <c r="V4" s="276">
        <v>0</v>
      </c>
      <c r="W4" s="276">
        <v>0</v>
      </c>
      <c r="X4" s="276">
        <v>3</v>
      </c>
      <c r="Y4" s="276">
        <v>0</v>
      </c>
      <c r="Z4" s="276">
        <v>0</v>
      </c>
      <c r="AA4" s="276">
        <v>0</v>
      </c>
      <c r="AB4" s="276">
        <v>1</v>
      </c>
      <c r="AC4" s="276">
        <v>1</v>
      </c>
      <c r="AD4" s="276">
        <v>0</v>
      </c>
      <c r="AE4" s="276">
        <v>1</v>
      </c>
      <c r="AF4" s="276">
        <v>0</v>
      </c>
      <c r="AG4" s="276">
        <v>0</v>
      </c>
      <c r="AH4" s="276">
        <v>4</v>
      </c>
      <c r="AI4" s="276">
        <v>1</v>
      </c>
      <c r="AJ4" s="276">
        <v>0</v>
      </c>
      <c r="AK4" s="276">
        <v>0</v>
      </c>
      <c r="AL4" s="276">
        <v>0</v>
      </c>
      <c r="AM4" s="276">
        <v>0</v>
      </c>
      <c r="AN4" s="276">
        <v>0</v>
      </c>
      <c r="AO4" s="277">
        <v>0</v>
      </c>
    </row>
    <row r="5" spans="1:41" ht="14.7" thickTop="1" thickBot="1" x14ac:dyDescent="0.55000000000000004">
      <c r="A5" s="268" t="s">
        <v>396</v>
      </c>
      <c r="B5" s="49" t="s">
        <v>566</v>
      </c>
      <c r="C5" s="272">
        <v>4</v>
      </c>
      <c r="D5" s="273">
        <v>0</v>
      </c>
      <c r="E5" s="273">
        <v>3</v>
      </c>
      <c r="F5" s="273">
        <v>0</v>
      </c>
      <c r="G5" s="325">
        <v>0</v>
      </c>
      <c r="H5" s="325">
        <v>0</v>
      </c>
      <c r="I5" s="273">
        <v>0</v>
      </c>
      <c r="J5" s="273">
        <v>0</v>
      </c>
      <c r="K5" s="273">
        <v>0</v>
      </c>
      <c r="L5" s="273">
        <v>0</v>
      </c>
      <c r="M5" s="273">
        <v>0</v>
      </c>
      <c r="N5" s="273">
        <v>0</v>
      </c>
      <c r="O5" s="273">
        <v>0</v>
      </c>
      <c r="P5" s="273">
        <v>0</v>
      </c>
      <c r="Q5" s="273">
        <v>1</v>
      </c>
      <c r="R5" s="273">
        <v>1</v>
      </c>
      <c r="S5" s="273">
        <v>0</v>
      </c>
      <c r="T5" s="273">
        <v>0</v>
      </c>
      <c r="U5" s="273">
        <v>0</v>
      </c>
      <c r="V5" s="273">
        <v>0</v>
      </c>
      <c r="W5" s="273">
        <v>0</v>
      </c>
      <c r="X5" s="273">
        <v>0</v>
      </c>
      <c r="Y5" s="273">
        <v>1</v>
      </c>
      <c r="Z5" s="273">
        <v>0</v>
      </c>
      <c r="AA5" s="273">
        <v>0</v>
      </c>
      <c r="AB5" s="273">
        <v>1</v>
      </c>
      <c r="AC5" s="273">
        <v>0</v>
      </c>
      <c r="AD5" s="273">
        <v>0</v>
      </c>
      <c r="AE5" s="273">
        <v>1</v>
      </c>
      <c r="AF5" s="273">
        <v>1</v>
      </c>
      <c r="AG5" s="273">
        <v>0</v>
      </c>
      <c r="AH5" s="273">
        <v>0</v>
      </c>
      <c r="AI5" s="273">
        <v>3</v>
      </c>
      <c r="AJ5" s="273">
        <v>0</v>
      </c>
      <c r="AK5" s="273">
        <v>2</v>
      </c>
      <c r="AL5" s="273">
        <v>0</v>
      </c>
      <c r="AM5" s="273">
        <v>0</v>
      </c>
      <c r="AN5" s="273">
        <v>0</v>
      </c>
      <c r="AO5" s="274">
        <v>0</v>
      </c>
    </row>
    <row r="6" spans="1:41" ht="14.7" thickTop="1" thickBot="1" x14ac:dyDescent="0.55000000000000004">
      <c r="A6" s="268" t="s">
        <v>388</v>
      </c>
      <c r="B6" s="49" t="s">
        <v>566</v>
      </c>
      <c r="C6" s="275">
        <v>3</v>
      </c>
      <c r="D6" s="276">
        <v>0</v>
      </c>
      <c r="E6" s="276">
        <v>2</v>
      </c>
      <c r="F6" s="276">
        <v>0</v>
      </c>
      <c r="G6" s="270">
        <v>0</v>
      </c>
      <c r="H6" s="270">
        <v>0</v>
      </c>
      <c r="I6" s="276">
        <v>1</v>
      </c>
      <c r="J6" s="276">
        <v>0</v>
      </c>
      <c r="K6" s="276">
        <v>0</v>
      </c>
      <c r="L6" s="276">
        <v>0</v>
      </c>
      <c r="M6" s="276">
        <v>0</v>
      </c>
      <c r="N6" s="276">
        <v>0</v>
      </c>
      <c r="O6" s="276">
        <v>0</v>
      </c>
      <c r="P6" s="276">
        <v>0</v>
      </c>
      <c r="Q6" s="276">
        <v>1</v>
      </c>
      <c r="R6" s="276">
        <v>1</v>
      </c>
      <c r="S6" s="276">
        <v>1</v>
      </c>
      <c r="T6" s="276">
        <v>1</v>
      </c>
      <c r="U6" s="276">
        <v>1</v>
      </c>
      <c r="V6" s="276">
        <v>0</v>
      </c>
      <c r="W6" s="276">
        <v>0</v>
      </c>
      <c r="X6" s="276">
        <v>0</v>
      </c>
      <c r="Y6" s="276">
        <v>0</v>
      </c>
      <c r="Z6" s="276">
        <v>0</v>
      </c>
      <c r="AA6" s="276">
        <v>0</v>
      </c>
      <c r="AB6" s="276">
        <v>1</v>
      </c>
      <c r="AC6" s="276">
        <v>0</v>
      </c>
      <c r="AD6" s="276">
        <v>0</v>
      </c>
      <c r="AE6" s="276">
        <v>0</v>
      </c>
      <c r="AF6" s="276">
        <v>2</v>
      </c>
      <c r="AG6" s="276">
        <v>1</v>
      </c>
      <c r="AH6" s="276">
        <v>0</v>
      </c>
      <c r="AI6" s="276">
        <v>4</v>
      </c>
      <c r="AJ6" s="276">
        <v>0</v>
      </c>
      <c r="AK6" s="276">
        <v>0</v>
      </c>
      <c r="AL6" s="276">
        <v>0</v>
      </c>
      <c r="AM6" s="276">
        <v>0</v>
      </c>
      <c r="AN6" s="276">
        <v>0</v>
      </c>
      <c r="AO6" s="277">
        <v>0</v>
      </c>
    </row>
    <row r="7" spans="1:41" ht="14.7" thickTop="1" thickBot="1" x14ac:dyDescent="0.55000000000000004">
      <c r="A7" s="268" t="s">
        <v>401</v>
      </c>
      <c r="B7" s="49" t="s">
        <v>18</v>
      </c>
      <c r="C7" s="272">
        <v>3</v>
      </c>
      <c r="D7" s="273">
        <v>1</v>
      </c>
      <c r="E7" s="273">
        <v>1</v>
      </c>
      <c r="F7" s="273">
        <v>1</v>
      </c>
      <c r="G7" s="325">
        <v>0</v>
      </c>
      <c r="H7" s="325">
        <v>0</v>
      </c>
      <c r="I7" s="273">
        <v>1</v>
      </c>
      <c r="J7" s="273">
        <v>0</v>
      </c>
      <c r="K7" s="273">
        <v>0</v>
      </c>
      <c r="L7" s="273">
        <v>0</v>
      </c>
      <c r="M7" s="273">
        <v>0</v>
      </c>
      <c r="N7" s="273">
        <v>0</v>
      </c>
      <c r="O7" s="273">
        <v>0</v>
      </c>
      <c r="P7" s="273">
        <v>0</v>
      </c>
      <c r="Q7" s="273">
        <v>1</v>
      </c>
      <c r="R7" s="273">
        <v>1</v>
      </c>
      <c r="S7" s="273">
        <v>0</v>
      </c>
      <c r="T7" s="273">
        <v>0</v>
      </c>
      <c r="U7" s="273">
        <v>1</v>
      </c>
      <c r="V7" s="273">
        <v>0</v>
      </c>
      <c r="W7" s="273">
        <v>0</v>
      </c>
      <c r="X7" s="273">
        <v>0</v>
      </c>
      <c r="Y7" s="273">
        <v>0</v>
      </c>
      <c r="Z7" s="273">
        <v>0</v>
      </c>
      <c r="AA7" s="273">
        <v>0</v>
      </c>
      <c r="AB7" s="273">
        <v>1</v>
      </c>
      <c r="AC7" s="273">
        <v>0</v>
      </c>
      <c r="AD7" s="273">
        <v>0</v>
      </c>
      <c r="AE7" s="273">
        <v>0</v>
      </c>
      <c r="AF7" s="273">
        <v>1</v>
      </c>
      <c r="AG7" s="273">
        <v>1</v>
      </c>
      <c r="AH7" s="273">
        <v>3</v>
      </c>
      <c r="AI7" s="273">
        <v>2</v>
      </c>
      <c r="AJ7" s="273">
        <v>0</v>
      </c>
      <c r="AK7" s="273">
        <v>0</v>
      </c>
      <c r="AL7" s="273">
        <v>0</v>
      </c>
      <c r="AM7" s="273">
        <v>0</v>
      </c>
      <c r="AN7" s="273">
        <v>0</v>
      </c>
      <c r="AO7" s="274">
        <v>0</v>
      </c>
    </row>
    <row r="8" spans="1:41" ht="14.7" thickTop="1" thickBot="1" x14ac:dyDescent="0.55000000000000004">
      <c r="A8" s="268" t="s">
        <v>394</v>
      </c>
      <c r="B8" s="49" t="s">
        <v>18</v>
      </c>
      <c r="C8" s="275">
        <v>2</v>
      </c>
      <c r="D8" s="276">
        <v>0</v>
      </c>
      <c r="E8" s="276">
        <v>1</v>
      </c>
      <c r="F8" s="276">
        <v>0</v>
      </c>
      <c r="G8" s="270">
        <v>0</v>
      </c>
      <c r="H8" s="270">
        <v>0</v>
      </c>
      <c r="I8" s="276">
        <v>0</v>
      </c>
      <c r="J8" s="276">
        <v>0</v>
      </c>
      <c r="K8" s="276">
        <v>0</v>
      </c>
      <c r="L8" s="276">
        <v>0</v>
      </c>
      <c r="M8" s="276">
        <v>2</v>
      </c>
      <c r="N8" s="276">
        <v>0</v>
      </c>
      <c r="O8" s="276">
        <v>0</v>
      </c>
      <c r="P8" s="276">
        <v>1</v>
      </c>
      <c r="Q8" s="276">
        <v>0</v>
      </c>
      <c r="R8" s="276">
        <v>0</v>
      </c>
      <c r="S8" s="276">
        <v>0</v>
      </c>
      <c r="T8" s="276">
        <v>0</v>
      </c>
      <c r="U8" s="276">
        <v>1</v>
      </c>
      <c r="V8" s="276">
        <v>0</v>
      </c>
      <c r="W8" s="276">
        <v>0</v>
      </c>
      <c r="X8" s="276">
        <v>1</v>
      </c>
      <c r="Y8" s="276">
        <v>1</v>
      </c>
      <c r="Z8" s="276">
        <v>0</v>
      </c>
      <c r="AA8" s="276">
        <v>0</v>
      </c>
      <c r="AB8" s="276">
        <v>0</v>
      </c>
      <c r="AC8" s="276">
        <v>0</v>
      </c>
      <c r="AD8" s="276">
        <v>0</v>
      </c>
      <c r="AE8" s="276">
        <v>0</v>
      </c>
      <c r="AF8" s="276">
        <v>1</v>
      </c>
      <c r="AG8" s="276">
        <v>1</v>
      </c>
      <c r="AH8" s="276">
        <v>3</v>
      </c>
      <c r="AI8" s="276">
        <v>2</v>
      </c>
      <c r="AJ8" s="276">
        <v>0</v>
      </c>
      <c r="AK8" s="276">
        <v>1</v>
      </c>
      <c r="AL8" s="276">
        <v>1</v>
      </c>
      <c r="AM8" s="276">
        <v>0</v>
      </c>
      <c r="AN8" s="276">
        <v>0</v>
      </c>
      <c r="AO8" s="277">
        <v>0</v>
      </c>
    </row>
    <row r="9" spans="1:41" ht="14.7" thickTop="1" thickBot="1" x14ac:dyDescent="0.55000000000000004">
      <c r="A9" s="268" t="s">
        <v>395</v>
      </c>
      <c r="B9" s="49" t="s">
        <v>18</v>
      </c>
      <c r="C9" s="272">
        <v>2</v>
      </c>
      <c r="D9" s="273">
        <v>1</v>
      </c>
      <c r="E9" s="273">
        <v>1</v>
      </c>
      <c r="F9" s="273">
        <v>0</v>
      </c>
      <c r="G9" s="325">
        <v>0</v>
      </c>
      <c r="H9" s="325">
        <v>0</v>
      </c>
      <c r="I9" s="273">
        <v>0</v>
      </c>
      <c r="J9" s="273">
        <v>0</v>
      </c>
      <c r="K9" s="273"/>
      <c r="L9" s="273">
        <v>1</v>
      </c>
      <c r="M9" s="273">
        <v>1</v>
      </c>
      <c r="N9" s="273">
        <v>0</v>
      </c>
      <c r="O9" s="273">
        <v>0</v>
      </c>
      <c r="P9" s="273">
        <v>0</v>
      </c>
      <c r="Q9" s="273">
        <v>1</v>
      </c>
      <c r="R9" s="273">
        <v>0</v>
      </c>
      <c r="S9" s="273">
        <v>0</v>
      </c>
      <c r="T9" s="273">
        <v>0</v>
      </c>
      <c r="U9" s="273">
        <v>1</v>
      </c>
      <c r="V9" s="273">
        <v>0</v>
      </c>
      <c r="W9" s="273">
        <v>0</v>
      </c>
      <c r="X9" s="273">
        <v>1</v>
      </c>
      <c r="Y9" s="273">
        <v>0</v>
      </c>
      <c r="Z9" s="273">
        <v>0</v>
      </c>
      <c r="AA9" s="273">
        <v>0</v>
      </c>
      <c r="AB9" s="273">
        <v>0</v>
      </c>
      <c r="AC9" s="273">
        <v>0</v>
      </c>
      <c r="AD9" s="273">
        <v>0</v>
      </c>
      <c r="AE9" s="273">
        <v>0</v>
      </c>
      <c r="AF9" s="273">
        <v>1</v>
      </c>
      <c r="AG9" s="273">
        <v>1</v>
      </c>
      <c r="AH9" s="273">
        <v>3</v>
      </c>
      <c r="AI9" s="273">
        <v>2</v>
      </c>
      <c r="AJ9" s="273">
        <v>0</v>
      </c>
      <c r="AK9" s="273">
        <v>1</v>
      </c>
      <c r="AL9" s="273">
        <v>1</v>
      </c>
      <c r="AM9" s="273">
        <v>0</v>
      </c>
      <c r="AN9" s="273">
        <v>0</v>
      </c>
      <c r="AO9" s="274">
        <v>0</v>
      </c>
    </row>
    <row r="10" spans="1:41" ht="14.7" thickTop="1" thickBot="1" x14ac:dyDescent="0.55000000000000004">
      <c r="A10" s="268" t="s">
        <v>393</v>
      </c>
      <c r="B10" s="49" t="s">
        <v>17</v>
      </c>
      <c r="C10" s="275">
        <v>0</v>
      </c>
      <c r="D10" s="276">
        <v>0</v>
      </c>
      <c r="E10" s="276">
        <v>0</v>
      </c>
      <c r="F10" s="276">
        <v>0</v>
      </c>
      <c r="G10" s="270">
        <v>0</v>
      </c>
      <c r="H10" s="270">
        <v>0</v>
      </c>
      <c r="I10" s="276">
        <v>0</v>
      </c>
      <c r="J10" s="276">
        <v>1</v>
      </c>
      <c r="K10" s="276">
        <v>0</v>
      </c>
      <c r="L10" s="276">
        <v>0</v>
      </c>
      <c r="M10" s="276">
        <v>0</v>
      </c>
      <c r="N10" s="276">
        <v>0</v>
      </c>
      <c r="O10" s="276">
        <v>0</v>
      </c>
      <c r="P10" s="276">
        <v>0</v>
      </c>
      <c r="Q10" s="276">
        <v>0</v>
      </c>
      <c r="R10" s="276">
        <v>0</v>
      </c>
      <c r="S10" s="276">
        <v>0</v>
      </c>
      <c r="T10" s="276">
        <v>0</v>
      </c>
      <c r="U10" s="276">
        <v>2</v>
      </c>
      <c r="V10" s="276">
        <v>0</v>
      </c>
      <c r="W10" s="276">
        <v>0</v>
      </c>
      <c r="X10" s="276">
        <v>3</v>
      </c>
      <c r="Y10" s="276">
        <v>0</v>
      </c>
      <c r="Z10" s="276">
        <v>0</v>
      </c>
      <c r="AA10" s="276">
        <v>1</v>
      </c>
      <c r="AB10" s="276">
        <v>1</v>
      </c>
      <c r="AC10" s="276">
        <v>0</v>
      </c>
      <c r="AD10" s="276">
        <v>0</v>
      </c>
      <c r="AE10" s="276">
        <v>2</v>
      </c>
      <c r="AF10" s="276">
        <v>0</v>
      </c>
      <c r="AG10" s="276">
        <v>0</v>
      </c>
      <c r="AH10" s="276">
        <v>3</v>
      </c>
      <c r="AI10" s="276">
        <v>1</v>
      </c>
      <c r="AJ10" s="276">
        <v>2</v>
      </c>
      <c r="AK10" s="276">
        <v>2</v>
      </c>
      <c r="AL10" s="276">
        <v>0</v>
      </c>
      <c r="AM10" s="276">
        <v>0</v>
      </c>
      <c r="AN10" s="276">
        <v>0</v>
      </c>
      <c r="AO10" s="277">
        <v>0</v>
      </c>
    </row>
    <row r="11" spans="1:41" ht="14.7" thickTop="1" thickBot="1" x14ac:dyDescent="0.55000000000000004">
      <c r="A11" s="268" t="s">
        <v>392</v>
      </c>
      <c r="B11" s="49" t="s">
        <v>17</v>
      </c>
      <c r="C11" s="272">
        <v>0</v>
      </c>
      <c r="D11" s="273">
        <v>1</v>
      </c>
      <c r="E11" s="273">
        <v>0</v>
      </c>
      <c r="F11" s="273">
        <v>0</v>
      </c>
      <c r="G11" s="325">
        <v>0</v>
      </c>
      <c r="H11" s="325">
        <v>0</v>
      </c>
      <c r="I11" s="273">
        <v>0</v>
      </c>
      <c r="J11" s="273">
        <v>1</v>
      </c>
      <c r="K11" s="273">
        <v>0</v>
      </c>
      <c r="L11" s="273">
        <v>0</v>
      </c>
      <c r="M11" s="273">
        <v>0</v>
      </c>
      <c r="N11" s="273">
        <v>0</v>
      </c>
      <c r="O11" s="273">
        <v>0</v>
      </c>
      <c r="P11" s="273">
        <v>0</v>
      </c>
      <c r="Q11" s="273">
        <v>0</v>
      </c>
      <c r="R11" s="273">
        <v>1</v>
      </c>
      <c r="S11" s="273">
        <v>0</v>
      </c>
      <c r="T11" s="273">
        <v>0</v>
      </c>
      <c r="U11" s="273">
        <v>1</v>
      </c>
      <c r="V11" s="273">
        <v>0</v>
      </c>
      <c r="W11" s="273">
        <v>0</v>
      </c>
      <c r="X11" s="273">
        <v>2</v>
      </c>
      <c r="Y11" s="273">
        <v>0</v>
      </c>
      <c r="Z11" s="273">
        <v>1</v>
      </c>
      <c r="AA11" s="273">
        <v>1</v>
      </c>
      <c r="AB11" s="273">
        <v>1</v>
      </c>
      <c r="AC11" s="273">
        <v>0</v>
      </c>
      <c r="AD11" s="273">
        <v>0</v>
      </c>
      <c r="AE11" s="273">
        <v>1</v>
      </c>
      <c r="AF11" s="273">
        <v>0</v>
      </c>
      <c r="AG11" s="273">
        <v>1</v>
      </c>
      <c r="AH11" s="273">
        <v>2</v>
      </c>
      <c r="AI11" s="273">
        <v>1</v>
      </c>
      <c r="AJ11" s="273">
        <v>1</v>
      </c>
      <c r="AK11" s="273">
        <v>3</v>
      </c>
      <c r="AL11" s="273">
        <v>0</v>
      </c>
      <c r="AM11" s="273">
        <v>0</v>
      </c>
      <c r="AN11" s="273">
        <v>0</v>
      </c>
      <c r="AO11" s="274">
        <v>0</v>
      </c>
    </row>
    <row r="12" spans="1:41" ht="14.7" thickTop="1" thickBot="1" x14ac:dyDescent="0.55000000000000004">
      <c r="A12" s="268" t="s">
        <v>399</v>
      </c>
      <c r="B12" s="49" t="s">
        <v>542</v>
      </c>
      <c r="C12" s="275">
        <v>4</v>
      </c>
      <c r="D12" s="276">
        <v>3</v>
      </c>
      <c r="E12" s="276">
        <v>3</v>
      </c>
      <c r="F12" s="276">
        <v>0</v>
      </c>
      <c r="G12" s="270">
        <v>0</v>
      </c>
      <c r="H12" s="270">
        <v>0</v>
      </c>
      <c r="I12" s="276">
        <v>0</v>
      </c>
      <c r="J12" s="276">
        <v>0</v>
      </c>
      <c r="K12" s="276">
        <v>0</v>
      </c>
      <c r="L12" s="276">
        <v>1</v>
      </c>
      <c r="M12" s="276">
        <v>2</v>
      </c>
      <c r="N12" s="276">
        <v>0</v>
      </c>
      <c r="O12" s="276">
        <v>1</v>
      </c>
      <c r="P12" s="276">
        <v>0</v>
      </c>
      <c r="Q12" s="276">
        <v>0</v>
      </c>
      <c r="R12" s="276">
        <v>0</v>
      </c>
      <c r="S12" s="276">
        <v>0</v>
      </c>
      <c r="T12" s="276">
        <v>0</v>
      </c>
      <c r="U12" s="276">
        <v>1</v>
      </c>
      <c r="V12" s="276">
        <v>0</v>
      </c>
      <c r="W12" s="276">
        <v>0</v>
      </c>
      <c r="X12" s="276">
        <v>0</v>
      </c>
      <c r="Y12" s="276">
        <v>0</v>
      </c>
      <c r="Z12" s="276">
        <v>0</v>
      </c>
      <c r="AA12" s="276">
        <v>0</v>
      </c>
      <c r="AB12" s="276">
        <v>0</v>
      </c>
      <c r="AC12" s="276">
        <v>0</v>
      </c>
      <c r="AD12" s="276">
        <v>0</v>
      </c>
      <c r="AE12" s="276">
        <v>0</v>
      </c>
      <c r="AF12" s="276">
        <v>0</v>
      </c>
      <c r="AG12" s="276">
        <v>0</v>
      </c>
      <c r="AH12" s="276">
        <v>1</v>
      </c>
      <c r="AI12" s="276">
        <v>2</v>
      </c>
      <c r="AJ12" s="276">
        <v>0</v>
      </c>
      <c r="AK12" s="276">
        <v>0</v>
      </c>
      <c r="AL12" s="276">
        <v>0</v>
      </c>
      <c r="AM12" s="276">
        <v>0</v>
      </c>
      <c r="AN12" s="276">
        <v>0</v>
      </c>
      <c r="AO12" s="277">
        <v>0</v>
      </c>
    </row>
    <row r="13" spans="1:41" ht="14.7" thickTop="1" thickBot="1" x14ac:dyDescent="0.55000000000000004">
      <c r="A13" s="268" t="s">
        <v>385</v>
      </c>
      <c r="B13" s="49" t="s">
        <v>542</v>
      </c>
      <c r="C13" s="272">
        <v>3</v>
      </c>
      <c r="D13" s="273">
        <v>2</v>
      </c>
      <c r="E13" s="273">
        <v>1</v>
      </c>
      <c r="F13" s="273">
        <v>0</v>
      </c>
      <c r="G13" s="325">
        <v>0</v>
      </c>
      <c r="H13" s="325">
        <v>0</v>
      </c>
      <c r="I13" s="273">
        <v>0</v>
      </c>
      <c r="J13" s="273">
        <v>0</v>
      </c>
      <c r="K13" s="273">
        <v>0</v>
      </c>
      <c r="L13" s="273">
        <v>0</v>
      </c>
      <c r="M13" s="273">
        <v>2</v>
      </c>
      <c r="N13" s="273">
        <v>0</v>
      </c>
      <c r="O13" s="273">
        <v>1</v>
      </c>
      <c r="P13" s="273">
        <v>1</v>
      </c>
      <c r="Q13" s="273">
        <v>1</v>
      </c>
      <c r="R13" s="273">
        <v>1</v>
      </c>
      <c r="S13" s="273">
        <v>0</v>
      </c>
      <c r="T13" s="273">
        <v>1</v>
      </c>
      <c r="U13" s="273">
        <v>1</v>
      </c>
      <c r="V13" s="273">
        <v>0</v>
      </c>
      <c r="W13" s="273">
        <v>0</v>
      </c>
      <c r="X13" s="273">
        <v>0</v>
      </c>
      <c r="Y13" s="273">
        <v>0</v>
      </c>
      <c r="Z13" s="273">
        <v>0</v>
      </c>
      <c r="AA13" s="273">
        <v>0</v>
      </c>
      <c r="AB13" s="273">
        <v>0</v>
      </c>
      <c r="AC13" s="273">
        <v>0</v>
      </c>
      <c r="AD13" s="273">
        <v>0</v>
      </c>
      <c r="AE13" s="273">
        <v>0</v>
      </c>
      <c r="AF13" s="273">
        <v>1</v>
      </c>
      <c r="AG13" s="273">
        <v>1</v>
      </c>
      <c r="AH13" s="273">
        <v>1</v>
      </c>
      <c r="AI13" s="273">
        <v>2</v>
      </c>
      <c r="AJ13" s="273">
        <v>0</v>
      </c>
      <c r="AK13" s="273">
        <v>0</v>
      </c>
      <c r="AL13" s="273">
        <v>0</v>
      </c>
      <c r="AM13" s="273">
        <v>0</v>
      </c>
      <c r="AN13" s="273">
        <v>0</v>
      </c>
      <c r="AO13" s="274">
        <v>0</v>
      </c>
    </row>
    <row r="14" spans="1:41" ht="14.7" thickTop="1" thickBot="1" x14ac:dyDescent="0.55000000000000004">
      <c r="A14" s="268" t="s">
        <v>548</v>
      </c>
      <c r="B14" s="49" t="s">
        <v>13</v>
      </c>
      <c r="C14" s="275">
        <v>3</v>
      </c>
      <c r="D14" s="276">
        <v>2</v>
      </c>
      <c r="E14" s="276">
        <v>1</v>
      </c>
      <c r="F14" s="276">
        <v>0</v>
      </c>
      <c r="G14" s="270">
        <v>0</v>
      </c>
      <c r="H14" s="270">
        <v>0</v>
      </c>
      <c r="I14" s="276">
        <v>0</v>
      </c>
      <c r="J14" s="276">
        <v>0</v>
      </c>
      <c r="K14" s="276">
        <v>0</v>
      </c>
      <c r="L14" s="276">
        <v>0</v>
      </c>
      <c r="M14" s="276">
        <v>1</v>
      </c>
      <c r="N14" s="276">
        <v>1</v>
      </c>
      <c r="O14" s="276">
        <v>1</v>
      </c>
      <c r="P14" s="276">
        <v>1</v>
      </c>
      <c r="Q14" s="276">
        <v>1</v>
      </c>
      <c r="R14" s="276">
        <v>1</v>
      </c>
      <c r="S14" s="276">
        <v>0</v>
      </c>
      <c r="T14" s="276">
        <v>1</v>
      </c>
      <c r="U14" s="276">
        <v>1</v>
      </c>
      <c r="V14" s="276">
        <v>0</v>
      </c>
      <c r="W14" s="276">
        <v>0</v>
      </c>
      <c r="X14" s="276">
        <v>0</v>
      </c>
      <c r="Y14" s="276">
        <v>0</v>
      </c>
      <c r="Z14" s="276">
        <v>0</v>
      </c>
      <c r="AA14" s="276">
        <v>0</v>
      </c>
      <c r="AB14" s="276">
        <v>0</v>
      </c>
      <c r="AC14" s="276">
        <v>0</v>
      </c>
      <c r="AD14" s="276">
        <v>0</v>
      </c>
      <c r="AE14" s="276">
        <v>0</v>
      </c>
      <c r="AF14" s="276">
        <v>1</v>
      </c>
      <c r="AG14" s="276">
        <v>1</v>
      </c>
      <c r="AH14" s="276">
        <v>1</v>
      </c>
      <c r="AI14" s="276">
        <v>2</v>
      </c>
      <c r="AJ14" s="276">
        <v>0</v>
      </c>
      <c r="AK14" s="276">
        <v>0</v>
      </c>
      <c r="AL14" s="276">
        <v>0</v>
      </c>
      <c r="AM14" s="276">
        <v>0</v>
      </c>
      <c r="AN14" s="276">
        <v>0</v>
      </c>
      <c r="AO14" s="277">
        <v>0</v>
      </c>
    </row>
    <row r="15" spans="1:41" ht="14.7" thickTop="1" thickBot="1" x14ac:dyDescent="0.55000000000000004">
      <c r="A15" s="268" t="s">
        <v>544</v>
      </c>
      <c r="B15" s="49" t="s">
        <v>14</v>
      </c>
      <c r="C15" s="272">
        <v>1</v>
      </c>
      <c r="D15" s="273">
        <v>1</v>
      </c>
      <c r="E15" s="273">
        <v>0</v>
      </c>
      <c r="F15" s="273">
        <v>0</v>
      </c>
      <c r="G15" s="325">
        <v>0</v>
      </c>
      <c r="H15" s="325">
        <v>0</v>
      </c>
      <c r="I15" s="273">
        <v>0</v>
      </c>
      <c r="J15" s="273">
        <v>0</v>
      </c>
      <c r="K15" s="273">
        <v>0</v>
      </c>
      <c r="L15" s="273">
        <v>1</v>
      </c>
      <c r="M15" s="273">
        <v>0</v>
      </c>
      <c r="N15" s="273">
        <v>0</v>
      </c>
      <c r="O15" s="273">
        <v>0</v>
      </c>
      <c r="P15" s="273">
        <v>0</v>
      </c>
      <c r="Q15" s="273">
        <v>0</v>
      </c>
      <c r="R15" s="273">
        <v>1</v>
      </c>
      <c r="S15" s="273">
        <v>1</v>
      </c>
      <c r="T15" s="273">
        <v>1</v>
      </c>
      <c r="U15" s="273">
        <v>1</v>
      </c>
      <c r="V15" s="273">
        <v>0</v>
      </c>
      <c r="W15" s="273">
        <v>0</v>
      </c>
      <c r="X15" s="273">
        <v>0</v>
      </c>
      <c r="Y15" s="273">
        <v>0</v>
      </c>
      <c r="Z15" s="273">
        <v>0</v>
      </c>
      <c r="AA15" s="273">
        <v>1</v>
      </c>
      <c r="AB15" s="273">
        <v>0</v>
      </c>
      <c r="AC15" s="273">
        <v>0</v>
      </c>
      <c r="AD15" s="273">
        <v>1</v>
      </c>
      <c r="AE15" s="273">
        <v>1</v>
      </c>
      <c r="AF15" s="273">
        <v>1</v>
      </c>
      <c r="AG15" s="273">
        <v>0</v>
      </c>
      <c r="AH15" s="273">
        <v>2</v>
      </c>
      <c r="AI15" s="273">
        <v>1</v>
      </c>
      <c r="AJ15" s="273">
        <v>0</v>
      </c>
      <c r="AK15" s="273">
        <v>0</v>
      </c>
      <c r="AL15" s="273">
        <v>0</v>
      </c>
      <c r="AM15" s="273">
        <v>4</v>
      </c>
      <c r="AN15" s="273">
        <v>0</v>
      </c>
      <c r="AO15" s="274">
        <v>0</v>
      </c>
    </row>
    <row r="16" spans="1:41" ht="14.7" thickTop="1" thickBot="1" x14ac:dyDescent="0.55000000000000004">
      <c r="A16" s="268" t="s">
        <v>390</v>
      </c>
      <c r="B16" s="49" t="s">
        <v>14</v>
      </c>
      <c r="C16" s="326">
        <v>1</v>
      </c>
      <c r="D16" s="327">
        <v>2</v>
      </c>
      <c r="E16" s="327">
        <v>0</v>
      </c>
      <c r="F16" s="327">
        <v>1</v>
      </c>
      <c r="G16" s="270">
        <v>0</v>
      </c>
      <c r="H16" s="270">
        <v>0</v>
      </c>
      <c r="I16" s="327">
        <v>0</v>
      </c>
      <c r="J16" s="327">
        <v>0</v>
      </c>
      <c r="K16" s="327">
        <v>1</v>
      </c>
      <c r="L16" s="327">
        <v>0</v>
      </c>
      <c r="M16" s="327">
        <v>0</v>
      </c>
      <c r="N16" s="327">
        <v>0</v>
      </c>
      <c r="O16" s="327">
        <v>0</v>
      </c>
      <c r="P16" s="327">
        <v>0</v>
      </c>
      <c r="Q16" s="327">
        <v>0</v>
      </c>
      <c r="R16" s="327">
        <v>1</v>
      </c>
      <c r="S16" s="327">
        <v>1</v>
      </c>
      <c r="T16" s="327">
        <v>1</v>
      </c>
      <c r="U16" s="327">
        <v>1</v>
      </c>
      <c r="V16" s="327">
        <v>0</v>
      </c>
      <c r="W16" s="327">
        <v>0</v>
      </c>
      <c r="X16" s="327">
        <v>0</v>
      </c>
      <c r="Y16" s="327">
        <v>0</v>
      </c>
      <c r="Z16" s="327">
        <v>0</v>
      </c>
      <c r="AA16" s="327">
        <v>0</v>
      </c>
      <c r="AB16" s="327">
        <v>0</v>
      </c>
      <c r="AC16" s="327">
        <v>0</v>
      </c>
      <c r="AD16" s="327">
        <v>2</v>
      </c>
      <c r="AE16" s="327">
        <v>1</v>
      </c>
      <c r="AF16" s="327">
        <v>0</v>
      </c>
      <c r="AG16" s="327">
        <v>0</v>
      </c>
      <c r="AH16" s="327">
        <v>4</v>
      </c>
      <c r="AI16" s="327">
        <v>1</v>
      </c>
      <c r="AJ16" s="327">
        <v>0</v>
      </c>
      <c r="AK16" s="327">
        <v>0</v>
      </c>
      <c r="AL16" s="327">
        <v>0</v>
      </c>
      <c r="AM16" s="327">
        <v>1</v>
      </c>
      <c r="AN16" s="327">
        <v>0</v>
      </c>
      <c r="AO16" s="328">
        <v>0</v>
      </c>
    </row>
    <row r="17" spans="1:41" ht="14.7" thickTop="1" thickBot="1" x14ac:dyDescent="0.55000000000000004">
      <c r="A17" s="268" t="s">
        <v>543</v>
      </c>
      <c r="B17" s="49" t="s">
        <v>15</v>
      </c>
      <c r="C17" s="272">
        <v>1</v>
      </c>
      <c r="D17" s="273">
        <v>1</v>
      </c>
      <c r="E17" s="273">
        <v>0</v>
      </c>
      <c r="F17" s="273">
        <v>0</v>
      </c>
      <c r="G17" s="325">
        <v>0</v>
      </c>
      <c r="H17" s="325">
        <v>0</v>
      </c>
      <c r="I17" s="273">
        <v>1</v>
      </c>
      <c r="J17" s="273">
        <v>0</v>
      </c>
      <c r="K17" s="273">
        <v>0</v>
      </c>
      <c r="L17" s="273">
        <v>0</v>
      </c>
      <c r="M17" s="273">
        <v>0</v>
      </c>
      <c r="N17" s="273">
        <v>0</v>
      </c>
      <c r="O17" s="273">
        <v>0</v>
      </c>
      <c r="P17" s="273">
        <v>0</v>
      </c>
      <c r="Q17" s="273">
        <v>1</v>
      </c>
      <c r="R17" s="273">
        <v>0</v>
      </c>
      <c r="S17" s="273">
        <v>0</v>
      </c>
      <c r="T17" s="273">
        <v>1</v>
      </c>
      <c r="U17" s="273">
        <v>0</v>
      </c>
      <c r="V17" s="273">
        <v>1</v>
      </c>
      <c r="W17" s="273">
        <v>1</v>
      </c>
      <c r="X17" s="273">
        <v>0</v>
      </c>
      <c r="Y17" s="273">
        <v>1</v>
      </c>
      <c r="Z17" s="273">
        <v>0</v>
      </c>
      <c r="AA17" s="273">
        <v>0</v>
      </c>
      <c r="AB17" s="273">
        <v>1</v>
      </c>
      <c r="AC17" s="273">
        <v>2</v>
      </c>
      <c r="AD17" s="273">
        <v>0</v>
      </c>
      <c r="AE17" s="273">
        <v>1</v>
      </c>
      <c r="AF17" s="273">
        <v>2</v>
      </c>
      <c r="AG17" s="273">
        <v>1</v>
      </c>
      <c r="AH17" s="273">
        <v>2</v>
      </c>
      <c r="AI17" s="273">
        <v>1</v>
      </c>
      <c r="AJ17" s="273">
        <v>0</v>
      </c>
      <c r="AK17" s="273">
        <v>0</v>
      </c>
      <c r="AL17" s="273">
        <v>0</v>
      </c>
      <c r="AM17" s="273">
        <v>0</v>
      </c>
      <c r="AN17" s="273">
        <v>0</v>
      </c>
      <c r="AO17" s="274">
        <v>0</v>
      </c>
    </row>
    <row r="18" spans="1:41" ht="14.7" thickTop="1" thickBot="1" x14ac:dyDescent="0.55000000000000004">
      <c r="A18" s="268" t="s">
        <v>391</v>
      </c>
      <c r="B18" s="49" t="s">
        <v>15</v>
      </c>
      <c r="C18" s="275">
        <v>2</v>
      </c>
      <c r="D18" s="276">
        <v>1</v>
      </c>
      <c r="E18" s="276">
        <v>1</v>
      </c>
      <c r="F18" s="276">
        <v>0</v>
      </c>
      <c r="G18" s="270">
        <v>0</v>
      </c>
      <c r="H18" s="270">
        <v>0</v>
      </c>
      <c r="I18" s="276">
        <v>0</v>
      </c>
      <c r="J18" s="276">
        <v>0</v>
      </c>
      <c r="K18" s="276">
        <v>1</v>
      </c>
      <c r="L18" s="276">
        <v>0</v>
      </c>
      <c r="M18" s="276">
        <v>0</v>
      </c>
      <c r="N18" s="276">
        <v>0</v>
      </c>
      <c r="O18" s="276">
        <v>0</v>
      </c>
      <c r="P18" s="276">
        <v>0</v>
      </c>
      <c r="Q18" s="276">
        <v>2</v>
      </c>
      <c r="R18" s="276">
        <v>0</v>
      </c>
      <c r="S18" s="276">
        <v>1</v>
      </c>
      <c r="T18" s="276">
        <v>1</v>
      </c>
      <c r="U18" s="276">
        <v>0</v>
      </c>
      <c r="V18" s="276">
        <v>1</v>
      </c>
      <c r="W18" s="276">
        <v>1</v>
      </c>
      <c r="X18" s="276">
        <v>0</v>
      </c>
      <c r="Y18" s="276">
        <v>0</v>
      </c>
      <c r="Z18" s="276">
        <v>0</v>
      </c>
      <c r="AA18" s="276">
        <v>0</v>
      </c>
      <c r="AB18" s="276">
        <v>0</v>
      </c>
      <c r="AC18" s="276">
        <v>2</v>
      </c>
      <c r="AD18" s="276">
        <v>0</v>
      </c>
      <c r="AE18" s="276">
        <v>1</v>
      </c>
      <c r="AF18" s="276">
        <v>0</v>
      </c>
      <c r="AG18" s="276">
        <v>1</v>
      </c>
      <c r="AH18" s="276">
        <v>2</v>
      </c>
      <c r="AI18" s="276">
        <v>1</v>
      </c>
      <c r="AJ18" s="276">
        <v>0</v>
      </c>
      <c r="AK18" s="276">
        <v>0</v>
      </c>
      <c r="AL18" s="276">
        <v>0</v>
      </c>
      <c r="AM18" s="276">
        <v>0</v>
      </c>
      <c r="AN18" s="276">
        <v>0</v>
      </c>
      <c r="AO18" s="277">
        <v>0</v>
      </c>
    </row>
    <row r="19" spans="1:41" ht="14.7" thickTop="1" thickBot="1" x14ac:dyDescent="0.55000000000000004">
      <c r="A19" s="268" t="s">
        <v>387</v>
      </c>
      <c r="B19" s="49" t="s">
        <v>19</v>
      </c>
      <c r="C19" s="272">
        <v>0</v>
      </c>
      <c r="D19" s="273">
        <v>1</v>
      </c>
      <c r="E19" s="273">
        <v>0</v>
      </c>
      <c r="F19" s="273">
        <v>1</v>
      </c>
      <c r="G19" s="325">
        <v>0</v>
      </c>
      <c r="H19" s="325">
        <v>0</v>
      </c>
      <c r="I19" s="273">
        <v>0</v>
      </c>
      <c r="J19" s="273">
        <v>1</v>
      </c>
      <c r="K19" s="273">
        <v>0</v>
      </c>
      <c r="L19" s="273">
        <v>0</v>
      </c>
      <c r="M19" s="273">
        <v>0</v>
      </c>
      <c r="N19" s="273">
        <v>0</v>
      </c>
      <c r="O19" s="273">
        <v>0</v>
      </c>
      <c r="P19" s="273">
        <v>0</v>
      </c>
      <c r="Q19" s="273">
        <v>0</v>
      </c>
      <c r="R19" s="273">
        <v>0</v>
      </c>
      <c r="S19" s="273">
        <v>0</v>
      </c>
      <c r="T19" s="273">
        <v>0</v>
      </c>
      <c r="U19" s="273">
        <v>1</v>
      </c>
      <c r="V19" s="273">
        <v>0</v>
      </c>
      <c r="W19" s="273">
        <v>0</v>
      </c>
      <c r="X19" s="273">
        <v>1</v>
      </c>
      <c r="Y19" s="273">
        <v>1</v>
      </c>
      <c r="Z19" s="273">
        <v>1</v>
      </c>
      <c r="AA19" s="273">
        <v>1</v>
      </c>
      <c r="AB19" s="273">
        <v>1</v>
      </c>
      <c r="AC19" s="273">
        <v>0</v>
      </c>
      <c r="AD19" s="273">
        <v>0</v>
      </c>
      <c r="AE19" s="273">
        <v>1</v>
      </c>
      <c r="AF19" s="273">
        <v>0</v>
      </c>
      <c r="AG19" s="273">
        <v>1</v>
      </c>
      <c r="AH19" s="273">
        <v>2</v>
      </c>
      <c r="AI19" s="273">
        <v>1</v>
      </c>
      <c r="AJ19" s="273">
        <v>3</v>
      </c>
      <c r="AK19" s="273">
        <v>1</v>
      </c>
      <c r="AL19" s="273">
        <v>0</v>
      </c>
      <c r="AM19" s="273">
        <v>0</v>
      </c>
      <c r="AN19" s="273">
        <v>0</v>
      </c>
      <c r="AO19" s="274">
        <v>0</v>
      </c>
    </row>
    <row r="20" spans="1:41" ht="14.4" thickTop="1" x14ac:dyDescent="0.5">
      <c r="A20" s="278" t="s">
        <v>549</v>
      </c>
      <c r="B20" s="222" t="s">
        <v>19</v>
      </c>
      <c r="C20" s="279">
        <v>0</v>
      </c>
      <c r="D20" s="267">
        <v>1</v>
      </c>
      <c r="E20" s="267">
        <v>0</v>
      </c>
      <c r="F20" s="267">
        <v>0</v>
      </c>
      <c r="G20" s="266">
        <v>0</v>
      </c>
      <c r="H20" s="266">
        <v>0</v>
      </c>
      <c r="I20" s="267">
        <v>0</v>
      </c>
      <c r="J20" s="267">
        <v>1</v>
      </c>
      <c r="K20" s="267">
        <v>0</v>
      </c>
      <c r="L20" s="267">
        <v>0</v>
      </c>
      <c r="M20" s="267">
        <v>0</v>
      </c>
      <c r="N20" s="267">
        <v>0</v>
      </c>
      <c r="O20" s="267">
        <v>0</v>
      </c>
      <c r="P20" s="267">
        <v>0</v>
      </c>
      <c r="Q20" s="267">
        <v>0</v>
      </c>
      <c r="R20" s="267">
        <v>0</v>
      </c>
      <c r="S20" s="267">
        <v>0</v>
      </c>
      <c r="T20" s="267">
        <v>0</v>
      </c>
      <c r="U20" s="267">
        <v>1</v>
      </c>
      <c r="V20" s="267">
        <v>1</v>
      </c>
      <c r="W20" s="267">
        <v>1</v>
      </c>
      <c r="X20" s="267">
        <v>1</v>
      </c>
      <c r="Y20" s="267">
        <v>1</v>
      </c>
      <c r="Z20" s="267">
        <v>0</v>
      </c>
      <c r="AA20" s="267">
        <v>0</v>
      </c>
      <c r="AB20" s="267">
        <v>1</v>
      </c>
      <c r="AC20" s="267">
        <v>0</v>
      </c>
      <c r="AD20" s="267">
        <v>0</v>
      </c>
      <c r="AE20" s="267">
        <v>0</v>
      </c>
      <c r="AF20" s="267">
        <v>0</v>
      </c>
      <c r="AG20" s="267">
        <v>1</v>
      </c>
      <c r="AH20" s="267">
        <v>4</v>
      </c>
      <c r="AI20" s="267">
        <v>0</v>
      </c>
      <c r="AJ20" s="267">
        <v>3</v>
      </c>
      <c r="AK20" s="267">
        <v>2</v>
      </c>
      <c r="AL20" s="267">
        <v>0</v>
      </c>
      <c r="AM20" s="267">
        <v>0</v>
      </c>
      <c r="AN20" s="267">
        <v>0</v>
      </c>
      <c r="AO20" s="280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06CB4-F9F9-473F-88B2-CD90C19B537E}">
  <sheetPr codeName="Sheet10"/>
  <dimension ref="A1:K55"/>
  <sheetViews>
    <sheetView zoomScale="146" zoomScaleNormal="146" workbookViewId="0">
      <pane ySplit="1" topLeftCell="A2" activePane="bottomLeft" state="frozen"/>
      <selection pane="bottomLeft" activeCell="G53" sqref="G53"/>
    </sheetView>
  </sheetViews>
  <sheetFormatPr defaultRowHeight="14.1" x14ac:dyDescent="0.5"/>
  <cols>
    <col min="1" max="1" width="19" style="335" bestFit="1" customWidth="1"/>
    <col min="2" max="2" width="19.77734375" style="335" bestFit="1" customWidth="1"/>
    <col min="3" max="9" width="10" style="335" customWidth="1"/>
    <col min="10" max="11" width="10.88671875" style="335" customWidth="1"/>
    <col min="12" max="16384" width="8.88671875" style="335"/>
  </cols>
  <sheetData>
    <row r="1" spans="1:11" x14ac:dyDescent="0.5">
      <c r="A1" s="368" t="s">
        <v>258</v>
      </c>
      <c r="B1" s="369"/>
      <c r="C1" s="323" t="s">
        <v>542</v>
      </c>
      <c r="D1" s="323" t="s">
        <v>566</v>
      </c>
      <c r="E1" s="323" t="s">
        <v>13</v>
      </c>
      <c r="F1" s="323" t="s">
        <v>14</v>
      </c>
      <c r="G1" s="323" t="s">
        <v>15</v>
      </c>
      <c r="H1" s="323" t="s">
        <v>16</v>
      </c>
      <c r="I1" s="323" t="s">
        <v>19</v>
      </c>
      <c r="J1" s="323" t="s">
        <v>17</v>
      </c>
      <c r="K1" s="324" t="s">
        <v>18</v>
      </c>
    </row>
    <row r="2" spans="1:11" x14ac:dyDescent="0.5">
      <c r="A2" s="321" t="s">
        <v>8</v>
      </c>
      <c r="B2" s="319"/>
      <c r="C2" s="336"/>
      <c r="D2" s="336"/>
      <c r="E2" s="336"/>
      <c r="F2" s="336"/>
      <c r="G2" s="336"/>
      <c r="H2" s="336"/>
      <c r="I2" s="336"/>
      <c r="J2" s="336"/>
      <c r="K2" s="337"/>
    </row>
    <row r="3" spans="1:11" x14ac:dyDescent="0.5">
      <c r="A3" s="318" t="s">
        <v>67</v>
      </c>
      <c r="B3" s="318" t="s">
        <v>9</v>
      </c>
      <c r="C3" s="338">
        <v>2</v>
      </c>
      <c r="D3" s="338">
        <v>2</v>
      </c>
      <c r="E3" s="338">
        <v>2</v>
      </c>
      <c r="F3" s="338">
        <v>1</v>
      </c>
      <c r="G3" s="338">
        <v>1</v>
      </c>
      <c r="H3" s="338">
        <v>1</v>
      </c>
      <c r="I3" s="338">
        <v>1</v>
      </c>
      <c r="J3" s="338">
        <v>2</v>
      </c>
      <c r="K3" s="339">
        <v>2</v>
      </c>
    </row>
    <row r="4" spans="1:11" x14ac:dyDescent="0.5">
      <c r="A4" s="319" t="s">
        <v>1</v>
      </c>
      <c r="B4" s="319" t="s">
        <v>10</v>
      </c>
      <c r="C4" s="336">
        <v>2</v>
      </c>
      <c r="D4" s="336">
        <v>1</v>
      </c>
      <c r="E4" s="336">
        <v>2</v>
      </c>
      <c r="F4" s="336">
        <v>2</v>
      </c>
      <c r="G4" s="336">
        <v>1</v>
      </c>
      <c r="H4" s="336">
        <v>1</v>
      </c>
      <c r="I4" s="336">
        <v>0</v>
      </c>
      <c r="J4" s="336">
        <v>0</v>
      </c>
      <c r="K4" s="337">
        <v>1</v>
      </c>
    </row>
    <row r="5" spans="1:11" x14ac:dyDescent="0.5">
      <c r="A5" s="318" t="s">
        <v>11</v>
      </c>
      <c r="B5" s="318"/>
      <c r="C5" s="338"/>
      <c r="D5" s="338"/>
      <c r="E5" s="338"/>
      <c r="F5" s="338"/>
      <c r="G5" s="338"/>
      <c r="H5" s="338"/>
      <c r="I5" s="338"/>
      <c r="J5" s="338"/>
      <c r="K5" s="339"/>
    </row>
    <row r="6" spans="1:11" x14ac:dyDescent="0.5">
      <c r="A6" s="319" t="s">
        <v>0</v>
      </c>
      <c r="B6" s="319" t="s">
        <v>9</v>
      </c>
      <c r="C6" s="336">
        <v>1</v>
      </c>
      <c r="D6" s="336">
        <v>2</v>
      </c>
      <c r="E6" s="336">
        <v>1</v>
      </c>
      <c r="F6" s="336">
        <v>0</v>
      </c>
      <c r="G6" s="336">
        <v>0</v>
      </c>
      <c r="H6" s="336">
        <v>1</v>
      </c>
      <c r="I6" s="336">
        <v>0</v>
      </c>
      <c r="J6" s="336">
        <v>0</v>
      </c>
      <c r="K6" s="337">
        <v>2</v>
      </c>
    </row>
    <row r="7" spans="1:11" x14ac:dyDescent="0.5">
      <c r="A7" s="318" t="s">
        <v>1</v>
      </c>
      <c r="B7" s="318" t="s">
        <v>10</v>
      </c>
      <c r="C7" s="338">
        <v>1</v>
      </c>
      <c r="D7" s="338">
        <v>1</v>
      </c>
      <c r="E7" s="338">
        <v>1</v>
      </c>
      <c r="F7" s="338">
        <v>1</v>
      </c>
      <c r="G7" s="338">
        <v>0</v>
      </c>
      <c r="H7" s="338">
        <v>0</v>
      </c>
      <c r="I7" s="338">
        <v>0</v>
      </c>
      <c r="J7" s="338">
        <v>0</v>
      </c>
      <c r="K7" s="339">
        <v>0</v>
      </c>
    </row>
    <row r="8" spans="1:11" x14ac:dyDescent="0.5">
      <c r="A8" s="319" t="s">
        <v>12</v>
      </c>
      <c r="B8" s="319"/>
      <c r="C8" s="336"/>
      <c r="D8" s="336"/>
      <c r="E8" s="336"/>
      <c r="F8" s="336"/>
      <c r="G8" s="336"/>
      <c r="H8" s="336"/>
      <c r="I8" s="336"/>
      <c r="J8" s="336"/>
      <c r="K8" s="337"/>
    </row>
    <row r="9" spans="1:11" x14ac:dyDescent="0.5">
      <c r="A9" s="318" t="s">
        <v>0</v>
      </c>
      <c r="B9" s="318" t="s">
        <v>9</v>
      </c>
      <c r="C9" s="338">
        <v>1</v>
      </c>
      <c r="D9" s="338">
        <v>0</v>
      </c>
      <c r="E9" s="338">
        <v>0</v>
      </c>
      <c r="F9" s="338">
        <v>0</v>
      </c>
      <c r="G9" s="338">
        <v>0</v>
      </c>
      <c r="H9" s="338">
        <v>0</v>
      </c>
      <c r="I9" s="338">
        <v>0</v>
      </c>
      <c r="J9" s="338">
        <v>0</v>
      </c>
      <c r="K9" s="339">
        <v>0</v>
      </c>
    </row>
    <row r="10" spans="1:11" x14ac:dyDescent="0.5">
      <c r="A10" s="319" t="s">
        <v>1</v>
      </c>
      <c r="B10" s="319" t="s">
        <v>10</v>
      </c>
      <c r="C10" s="336">
        <v>1</v>
      </c>
      <c r="D10" s="336">
        <v>0</v>
      </c>
      <c r="E10" s="336">
        <v>0</v>
      </c>
      <c r="F10" s="336">
        <v>0</v>
      </c>
      <c r="G10" s="336">
        <v>0</v>
      </c>
      <c r="H10" s="336">
        <v>0</v>
      </c>
      <c r="I10" s="336">
        <v>0</v>
      </c>
      <c r="J10" s="336">
        <v>0</v>
      </c>
      <c r="K10" s="337">
        <v>0</v>
      </c>
    </row>
    <row r="11" spans="1:11" x14ac:dyDescent="0.5">
      <c r="A11" s="318"/>
      <c r="B11" s="318"/>
      <c r="C11" s="338"/>
      <c r="D11" s="338"/>
      <c r="E11" s="338"/>
      <c r="F11" s="338"/>
      <c r="G11" s="338"/>
      <c r="H11" s="338"/>
      <c r="I11" s="338"/>
      <c r="J11" s="338"/>
      <c r="K11" s="339"/>
    </row>
    <row r="12" spans="1:11" x14ac:dyDescent="0.5">
      <c r="A12" s="322" t="s">
        <v>500</v>
      </c>
      <c r="B12" s="318"/>
      <c r="C12" s="338"/>
      <c r="D12" s="338"/>
      <c r="E12" s="338"/>
      <c r="F12" s="338"/>
      <c r="G12" s="338"/>
      <c r="H12" s="338"/>
      <c r="I12" s="338"/>
      <c r="J12" s="338"/>
      <c r="K12" s="339"/>
    </row>
    <row r="13" spans="1:11" x14ac:dyDescent="0.5">
      <c r="A13" s="319" t="s">
        <v>4</v>
      </c>
      <c r="B13" s="319" t="s">
        <v>20</v>
      </c>
      <c r="C13" s="336">
        <v>1</v>
      </c>
      <c r="D13" s="336">
        <v>0</v>
      </c>
      <c r="E13" s="336">
        <v>1</v>
      </c>
      <c r="F13" s="336">
        <v>2</v>
      </c>
      <c r="G13" s="336">
        <v>2</v>
      </c>
      <c r="H13" s="336">
        <v>1</v>
      </c>
      <c r="I13" s="336">
        <v>2</v>
      </c>
      <c r="J13" s="336">
        <v>1</v>
      </c>
      <c r="K13" s="337">
        <v>1</v>
      </c>
    </row>
    <row r="14" spans="1:11" x14ac:dyDescent="0.5">
      <c r="A14" s="318" t="s">
        <v>2</v>
      </c>
      <c r="B14" s="318" t="s">
        <v>21</v>
      </c>
      <c r="C14" s="338">
        <v>2</v>
      </c>
      <c r="D14" s="338">
        <v>3</v>
      </c>
      <c r="E14" s="338">
        <v>2</v>
      </c>
      <c r="F14" s="338">
        <v>1</v>
      </c>
      <c r="G14" s="338">
        <v>1</v>
      </c>
      <c r="H14" s="338">
        <v>1</v>
      </c>
      <c r="I14" s="338">
        <v>1</v>
      </c>
      <c r="J14" s="338">
        <v>1</v>
      </c>
      <c r="K14" s="339">
        <v>2</v>
      </c>
    </row>
    <row r="15" spans="1:11" x14ac:dyDescent="0.5">
      <c r="A15" s="319"/>
      <c r="B15" s="319"/>
      <c r="C15" s="336"/>
      <c r="D15" s="336"/>
      <c r="E15" s="336"/>
      <c r="F15" s="336"/>
      <c r="G15" s="336"/>
      <c r="H15" s="336"/>
      <c r="I15" s="336"/>
      <c r="J15" s="336"/>
      <c r="K15" s="337"/>
    </row>
    <row r="16" spans="1:11" x14ac:dyDescent="0.5">
      <c r="A16" s="322" t="s">
        <v>32</v>
      </c>
      <c r="B16" s="318"/>
      <c r="C16" s="338"/>
      <c r="D16" s="338"/>
      <c r="E16" s="338"/>
      <c r="F16" s="338"/>
      <c r="G16" s="338"/>
      <c r="H16" s="338"/>
      <c r="I16" s="338"/>
      <c r="J16" s="338"/>
      <c r="K16" s="339"/>
    </row>
    <row r="17" spans="1:11" x14ac:dyDescent="0.5">
      <c r="A17" s="319" t="s">
        <v>1</v>
      </c>
      <c r="B17" s="319" t="s">
        <v>22</v>
      </c>
      <c r="C17" s="336">
        <v>1</v>
      </c>
      <c r="D17" s="336">
        <v>2</v>
      </c>
      <c r="E17" s="336">
        <v>1</v>
      </c>
      <c r="F17" s="336">
        <v>2</v>
      </c>
      <c r="G17" s="336">
        <v>2</v>
      </c>
      <c r="H17" s="336">
        <v>1</v>
      </c>
      <c r="I17" s="336">
        <v>1</v>
      </c>
      <c r="J17" s="336">
        <v>1</v>
      </c>
      <c r="K17" s="337">
        <v>1</v>
      </c>
    </row>
    <row r="18" spans="1:11" x14ac:dyDescent="0.5">
      <c r="A18" s="318" t="s">
        <v>2</v>
      </c>
      <c r="B18" s="318" t="s">
        <v>23</v>
      </c>
      <c r="C18" s="338">
        <v>1</v>
      </c>
      <c r="D18" s="338">
        <v>1</v>
      </c>
      <c r="E18" s="338">
        <v>1</v>
      </c>
      <c r="F18" s="338">
        <v>2</v>
      </c>
      <c r="G18" s="338">
        <v>1</v>
      </c>
      <c r="H18" s="338">
        <v>1</v>
      </c>
      <c r="I18" s="338">
        <v>1</v>
      </c>
      <c r="J18" s="338">
        <v>1</v>
      </c>
      <c r="K18" s="339">
        <v>1</v>
      </c>
    </row>
    <row r="19" spans="1:11" x14ac:dyDescent="0.5">
      <c r="A19" s="319" t="s">
        <v>1</v>
      </c>
      <c r="B19" s="319" t="s">
        <v>24</v>
      </c>
      <c r="C19" s="336">
        <v>1</v>
      </c>
      <c r="D19" s="336">
        <v>0</v>
      </c>
      <c r="E19" s="336">
        <v>1</v>
      </c>
      <c r="F19" s="336">
        <v>2</v>
      </c>
      <c r="G19" s="336">
        <v>1</v>
      </c>
      <c r="H19" s="336">
        <v>1</v>
      </c>
      <c r="I19" s="336">
        <v>0</v>
      </c>
      <c r="J19" s="336">
        <v>1</v>
      </c>
      <c r="K19" s="337">
        <v>0</v>
      </c>
    </row>
    <row r="20" spans="1:11" x14ac:dyDescent="0.5">
      <c r="A20" s="318" t="s">
        <v>0</v>
      </c>
      <c r="B20" s="318" t="s">
        <v>25</v>
      </c>
      <c r="C20" s="338">
        <v>1</v>
      </c>
      <c r="D20" s="338">
        <v>1</v>
      </c>
      <c r="E20" s="338">
        <v>1</v>
      </c>
      <c r="F20" s="338">
        <v>2</v>
      </c>
      <c r="G20" s="338">
        <v>2</v>
      </c>
      <c r="H20" s="338">
        <v>1</v>
      </c>
      <c r="I20" s="338">
        <v>0</v>
      </c>
      <c r="J20" s="338">
        <v>1</v>
      </c>
      <c r="K20" s="339">
        <v>0</v>
      </c>
    </row>
    <row r="21" spans="1:11" x14ac:dyDescent="0.5">
      <c r="A21" s="319" t="s">
        <v>5</v>
      </c>
      <c r="B21" s="319" t="s">
        <v>26</v>
      </c>
      <c r="C21" s="336">
        <v>0</v>
      </c>
      <c r="D21" s="336">
        <v>0</v>
      </c>
      <c r="E21" s="336">
        <v>0</v>
      </c>
      <c r="F21" s="336">
        <v>0</v>
      </c>
      <c r="G21" s="336">
        <v>0</v>
      </c>
      <c r="H21" s="336">
        <v>0</v>
      </c>
      <c r="I21" s="336">
        <v>0</v>
      </c>
      <c r="J21" s="336">
        <v>0</v>
      </c>
      <c r="K21" s="337">
        <v>0</v>
      </c>
    </row>
    <row r="22" spans="1:11" x14ac:dyDescent="0.5">
      <c r="A22" s="318"/>
      <c r="B22" s="318"/>
      <c r="C22" s="338"/>
      <c r="D22" s="338"/>
      <c r="E22" s="338"/>
      <c r="F22" s="338"/>
      <c r="G22" s="338"/>
      <c r="H22" s="338"/>
      <c r="I22" s="338"/>
      <c r="J22" s="338"/>
      <c r="K22" s="339"/>
    </row>
    <row r="23" spans="1:11" x14ac:dyDescent="0.5">
      <c r="A23" s="321" t="s">
        <v>33</v>
      </c>
      <c r="B23" s="319"/>
      <c r="C23" s="336"/>
      <c r="D23" s="336"/>
      <c r="E23" s="336"/>
      <c r="F23" s="336"/>
      <c r="G23" s="336"/>
      <c r="H23" s="336"/>
      <c r="I23" s="336"/>
      <c r="J23" s="336"/>
      <c r="K23" s="337"/>
    </row>
    <row r="24" spans="1:11" x14ac:dyDescent="0.5">
      <c r="A24" s="318" t="s">
        <v>4</v>
      </c>
      <c r="B24" s="318" t="s">
        <v>27</v>
      </c>
      <c r="C24" s="338">
        <v>0</v>
      </c>
      <c r="D24" s="338">
        <v>0</v>
      </c>
      <c r="E24" s="338">
        <v>0</v>
      </c>
      <c r="F24" s="338">
        <v>1</v>
      </c>
      <c r="G24" s="338">
        <v>2</v>
      </c>
      <c r="H24" s="338">
        <v>1</v>
      </c>
      <c r="I24" s="338">
        <v>0</v>
      </c>
      <c r="J24" s="338">
        <v>0</v>
      </c>
      <c r="K24" s="339">
        <v>0</v>
      </c>
    </row>
    <row r="25" spans="1:11" x14ac:dyDescent="0.5">
      <c r="A25" s="319" t="s">
        <v>3</v>
      </c>
      <c r="B25" s="319" t="s">
        <v>28</v>
      </c>
      <c r="C25" s="336">
        <v>0</v>
      </c>
      <c r="D25" s="336">
        <v>0</v>
      </c>
      <c r="E25" s="336">
        <v>0</v>
      </c>
      <c r="F25" s="336">
        <v>0</v>
      </c>
      <c r="G25" s="336">
        <v>2</v>
      </c>
      <c r="H25" s="336">
        <v>1</v>
      </c>
      <c r="I25" s="336">
        <v>0</v>
      </c>
      <c r="J25" s="336">
        <v>0</v>
      </c>
      <c r="K25" s="337">
        <v>0</v>
      </c>
    </row>
    <row r="26" spans="1:11" x14ac:dyDescent="0.5">
      <c r="A26" s="318" t="s">
        <v>75</v>
      </c>
      <c r="B26" s="318" t="s">
        <v>29</v>
      </c>
      <c r="C26" s="338">
        <v>0</v>
      </c>
      <c r="D26" s="338">
        <v>0</v>
      </c>
      <c r="E26" s="338">
        <v>1</v>
      </c>
      <c r="F26" s="338">
        <v>1</v>
      </c>
      <c r="G26" s="338">
        <v>1</v>
      </c>
      <c r="H26" s="338">
        <v>1</v>
      </c>
      <c r="I26" s="338">
        <v>1</v>
      </c>
      <c r="J26" s="338">
        <v>1</v>
      </c>
      <c r="K26" s="339">
        <v>2</v>
      </c>
    </row>
    <row r="27" spans="1:11" x14ac:dyDescent="0.5">
      <c r="A27" s="319" t="s">
        <v>3</v>
      </c>
      <c r="B27" s="319" t="s">
        <v>30</v>
      </c>
      <c r="C27" s="336">
        <v>0</v>
      </c>
      <c r="D27" s="336">
        <v>0</v>
      </c>
      <c r="E27" s="336">
        <v>0</v>
      </c>
      <c r="F27" s="336">
        <v>0</v>
      </c>
      <c r="G27" s="336">
        <v>2</v>
      </c>
      <c r="H27" s="336">
        <v>1</v>
      </c>
      <c r="I27" s="336">
        <v>1</v>
      </c>
      <c r="J27" s="336">
        <v>1</v>
      </c>
      <c r="K27" s="337">
        <v>1</v>
      </c>
    </row>
    <row r="28" spans="1:11" x14ac:dyDescent="0.5">
      <c r="A28" s="318" t="s">
        <v>6</v>
      </c>
      <c r="B28" s="318" t="s">
        <v>26</v>
      </c>
      <c r="C28" s="338">
        <v>0</v>
      </c>
      <c r="D28" s="338">
        <v>0</v>
      </c>
      <c r="E28" s="338">
        <v>0</v>
      </c>
      <c r="F28" s="338">
        <v>0</v>
      </c>
      <c r="G28" s="338">
        <v>0</v>
      </c>
      <c r="H28" s="338">
        <v>0</v>
      </c>
      <c r="I28" s="338">
        <v>0</v>
      </c>
      <c r="J28" s="338">
        <v>0</v>
      </c>
      <c r="K28" s="339">
        <v>0</v>
      </c>
    </row>
    <row r="29" spans="1:11" x14ac:dyDescent="0.5">
      <c r="A29" s="319"/>
      <c r="B29" s="319"/>
      <c r="C29" s="336"/>
      <c r="D29" s="336"/>
      <c r="E29" s="336"/>
      <c r="F29" s="336"/>
      <c r="G29" s="336"/>
      <c r="H29" s="336"/>
      <c r="I29" s="336"/>
      <c r="J29" s="336"/>
      <c r="K29" s="337"/>
    </row>
    <row r="30" spans="1:11" x14ac:dyDescent="0.5">
      <c r="A30" s="322" t="s">
        <v>34</v>
      </c>
      <c r="B30" s="318"/>
      <c r="C30" s="338"/>
      <c r="D30" s="338"/>
      <c r="E30" s="338"/>
      <c r="F30" s="338"/>
      <c r="G30" s="338"/>
      <c r="H30" s="338"/>
      <c r="I30" s="338"/>
      <c r="J30" s="338"/>
      <c r="K30" s="339"/>
    </row>
    <row r="31" spans="1:11" x14ac:dyDescent="0.5">
      <c r="A31" s="319" t="s">
        <v>68</v>
      </c>
      <c r="B31" s="319" t="s">
        <v>31</v>
      </c>
      <c r="C31" s="336">
        <v>0</v>
      </c>
      <c r="D31" s="336">
        <v>0</v>
      </c>
      <c r="E31" s="336"/>
      <c r="F31" s="336">
        <v>0</v>
      </c>
      <c r="G31" s="336">
        <v>2</v>
      </c>
      <c r="H31" s="336">
        <v>1</v>
      </c>
      <c r="I31" s="336">
        <v>0</v>
      </c>
      <c r="J31" s="336">
        <v>0</v>
      </c>
      <c r="K31" s="337"/>
    </row>
    <row r="32" spans="1:11" x14ac:dyDescent="0.5">
      <c r="A32" s="318" t="s">
        <v>69</v>
      </c>
      <c r="B32" s="318" t="s">
        <v>35</v>
      </c>
      <c r="C32" s="338">
        <v>0</v>
      </c>
      <c r="D32" s="338">
        <v>0</v>
      </c>
      <c r="E32" s="338">
        <v>0</v>
      </c>
      <c r="F32" s="338">
        <v>2</v>
      </c>
      <c r="G32" s="338">
        <v>0</v>
      </c>
      <c r="H32" s="338">
        <v>1</v>
      </c>
      <c r="I32" s="338">
        <v>0</v>
      </c>
      <c r="J32" s="338">
        <v>0</v>
      </c>
      <c r="K32" s="339">
        <v>0</v>
      </c>
    </row>
    <row r="33" spans="1:11" x14ac:dyDescent="0.5">
      <c r="A33" s="319" t="s">
        <v>70</v>
      </c>
      <c r="B33" s="319" t="s">
        <v>36</v>
      </c>
      <c r="C33" s="336">
        <v>1</v>
      </c>
      <c r="D33" s="336">
        <v>0</v>
      </c>
      <c r="E33" s="336">
        <v>0</v>
      </c>
      <c r="F33" s="336">
        <v>2</v>
      </c>
      <c r="G33" s="336">
        <v>2</v>
      </c>
      <c r="H33" s="336">
        <v>1</v>
      </c>
      <c r="I33" s="336">
        <v>1</v>
      </c>
      <c r="J33" s="336">
        <v>1</v>
      </c>
      <c r="K33" s="337">
        <v>0</v>
      </c>
    </row>
    <row r="34" spans="1:11" x14ac:dyDescent="0.5">
      <c r="A34" s="318" t="s">
        <v>68</v>
      </c>
      <c r="B34" s="318" t="s">
        <v>37</v>
      </c>
      <c r="C34" s="338">
        <v>1</v>
      </c>
      <c r="D34" s="338">
        <v>1</v>
      </c>
      <c r="E34" s="338">
        <v>1</v>
      </c>
      <c r="F34" s="338">
        <v>2</v>
      </c>
      <c r="G34" s="338">
        <v>1</v>
      </c>
      <c r="H34" s="338">
        <v>1</v>
      </c>
      <c r="I34" s="338">
        <v>1</v>
      </c>
      <c r="J34" s="338">
        <v>1</v>
      </c>
      <c r="K34" s="339">
        <v>1</v>
      </c>
    </row>
    <row r="35" spans="1:11" x14ac:dyDescent="0.5">
      <c r="A35" s="319" t="s">
        <v>71</v>
      </c>
      <c r="B35" s="319" t="s">
        <v>26</v>
      </c>
      <c r="C35" s="336">
        <v>0</v>
      </c>
      <c r="D35" s="336">
        <v>0</v>
      </c>
      <c r="E35" s="336">
        <v>0</v>
      </c>
      <c r="F35" s="336">
        <v>0</v>
      </c>
      <c r="G35" s="336">
        <v>0</v>
      </c>
      <c r="H35" s="336">
        <v>0</v>
      </c>
      <c r="I35" s="336">
        <v>0</v>
      </c>
      <c r="J35" s="336">
        <v>0</v>
      </c>
      <c r="K35" s="337">
        <v>0</v>
      </c>
    </row>
    <row r="36" spans="1:11" x14ac:dyDescent="0.5">
      <c r="A36" s="318"/>
      <c r="B36" s="318"/>
      <c r="C36" s="338"/>
      <c r="D36" s="338"/>
      <c r="E36" s="338"/>
      <c r="F36" s="338"/>
      <c r="G36" s="338"/>
      <c r="H36" s="338"/>
      <c r="I36" s="338"/>
      <c r="J36" s="338"/>
      <c r="K36" s="339"/>
    </row>
    <row r="37" spans="1:11" x14ac:dyDescent="0.5">
      <c r="A37" s="321" t="s">
        <v>38</v>
      </c>
      <c r="B37" s="319"/>
      <c r="C37" s="336"/>
      <c r="D37" s="336"/>
      <c r="E37" s="336"/>
      <c r="F37" s="336"/>
      <c r="G37" s="336"/>
      <c r="H37" s="336"/>
      <c r="I37" s="336"/>
      <c r="J37" s="336"/>
      <c r="K37" s="337"/>
    </row>
    <row r="38" spans="1:11" x14ac:dyDescent="0.5">
      <c r="A38" s="318" t="s">
        <v>1</v>
      </c>
      <c r="B38" s="318" t="s">
        <v>40</v>
      </c>
      <c r="C38" s="338">
        <v>1</v>
      </c>
      <c r="D38" s="338">
        <v>1</v>
      </c>
      <c r="E38" s="338">
        <v>1</v>
      </c>
      <c r="F38" s="338">
        <v>1</v>
      </c>
      <c r="G38" s="338">
        <v>1</v>
      </c>
      <c r="H38" s="338">
        <v>1</v>
      </c>
      <c r="I38" s="338">
        <v>1</v>
      </c>
      <c r="J38" s="338">
        <v>1</v>
      </c>
      <c r="K38" s="339">
        <v>1</v>
      </c>
    </row>
    <row r="39" spans="1:11" x14ac:dyDescent="0.5">
      <c r="A39" s="319" t="s">
        <v>1</v>
      </c>
      <c r="B39" s="319" t="s">
        <v>41</v>
      </c>
      <c r="C39" s="336">
        <v>1</v>
      </c>
      <c r="D39" s="336">
        <v>1</v>
      </c>
      <c r="E39" s="336">
        <v>1</v>
      </c>
      <c r="F39" s="336">
        <v>1</v>
      </c>
      <c r="G39" s="336">
        <v>1</v>
      </c>
      <c r="H39" s="336">
        <v>1</v>
      </c>
      <c r="I39" s="336">
        <v>1</v>
      </c>
      <c r="J39" s="336">
        <v>1</v>
      </c>
      <c r="K39" s="337">
        <v>1</v>
      </c>
    </row>
    <row r="40" spans="1:11" x14ac:dyDescent="0.5">
      <c r="A40" s="318" t="s">
        <v>72</v>
      </c>
      <c r="B40" s="318" t="s">
        <v>42</v>
      </c>
      <c r="C40" s="338">
        <v>1</v>
      </c>
      <c r="D40" s="338">
        <v>1</v>
      </c>
      <c r="E40" s="338">
        <v>1</v>
      </c>
      <c r="F40" s="338">
        <v>1</v>
      </c>
      <c r="G40" s="338">
        <v>1</v>
      </c>
      <c r="H40" s="338">
        <v>1</v>
      </c>
      <c r="I40" s="338"/>
      <c r="J40" s="338">
        <v>0</v>
      </c>
      <c r="K40" s="339">
        <v>1</v>
      </c>
    </row>
    <row r="41" spans="1:11" x14ac:dyDescent="0.5">
      <c r="A41" s="319" t="s">
        <v>73</v>
      </c>
      <c r="B41" s="319" t="s">
        <v>43</v>
      </c>
      <c r="C41" s="336">
        <v>1</v>
      </c>
      <c r="D41" s="336">
        <v>1</v>
      </c>
      <c r="E41" s="336">
        <v>1</v>
      </c>
      <c r="F41" s="336">
        <v>0</v>
      </c>
      <c r="G41" s="336">
        <v>1</v>
      </c>
      <c r="H41" s="336">
        <v>1</v>
      </c>
      <c r="I41" s="336"/>
      <c r="J41" s="336"/>
      <c r="K41" s="337">
        <v>1</v>
      </c>
    </row>
    <row r="42" spans="1:11" x14ac:dyDescent="0.5">
      <c r="A42" s="318" t="s">
        <v>0</v>
      </c>
      <c r="B42" s="318" t="s">
        <v>44</v>
      </c>
      <c r="C42" s="338">
        <v>1</v>
      </c>
      <c r="D42" s="338">
        <v>0</v>
      </c>
      <c r="E42" s="338">
        <v>1</v>
      </c>
      <c r="F42" s="338"/>
      <c r="G42" s="338"/>
      <c r="H42" s="338">
        <v>0</v>
      </c>
      <c r="I42" s="338"/>
      <c r="J42" s="338"/>
      <c r="K42" s="339">
        <v>0</v>
      </c>
    </row>
    <row r="43" spans="1:11" x14ac:dyDescent="0.5">
      <c r="A43" s="319" t="s">
        <v>74</v>
      </c>
      <c r="B43" s="319" t="s">
        <v>45</v>
      </c>
      <c r="C43" s="336">
        <v>0</v>
      </c>
      <c r="D43" s="336"/>
      <c r="E43" s="336">
        <v>0</v>
      </c>
      <c r="F43" s="336"/>
      <c r="G43" s="336"/>
      <c r="H43" s="336"/>
      <c r="I43" s="336"/>
      <c r="J43" s="336"/>
      <c r="K43" s="337">
        <v>0</v>
      </c>
    </row>
    <row r="44" spans="1:11" x14ac:dyDescent="0.5">
      <c r="A44" s="318" t="s">
        <v>0</v>
      </c>
      <c r="B44" s="318" t="s">
        <v>46</v>
      </c>
      <c r="C44" s="338">
        <v>1</v>
      </c>
      <c r="D44" s="338">
        <v>1</v>
      </c>
      <c r="E44" s="338">
        <v>0</v>
      </c>
      <c r="F44" s="338"/>
      <c r="G44" s="338"/>
      <c r="H44" s="338"/>
      <c r="I44" s="338"/>
      <c r="J44" s="338"/>
      <c r="K44" s="339"/>
    </row>
    <row r="45" spans="1:11" x14ac:dyDescent="0.5">
      <c r="A45" s="319" t="s">
        <v>0</v>
      </c>
      <c r="B45" s="319" t="s">
        <v>47</v>
      </c>
      <c r="C45" s="336">
        <v>1</v>
      </c>
      <c r="D45" s="336"/>
      <c r="E45" s="336">
        <v>1</v>
      </c>
      <c r="F45" s="336"/>
      <c r="G45" s="336"/>
      <c r="H45" s="336">
        <v>0</v>
      </c>
      <c r="I45" s="336"/>
      <c r="J45" s="336"/>
      <c r="K45" s="337">
        <v>1</v>
      </c>
    </row>
    <row r="46" spans="1:11" x14ac:dyDescent="0.5">
      <c r="A46" s="318"/>
      <c r="B46" s="318"/>
      <c r="C46" s="338"/>
      <c r="D46" s="338"/>
      <c r="E46" s="338"/>
      <c r="F46" s="338"/>
      <c r="G46" s="338"/>
      <c r="H46" s="338"/>
      <c r="I46" s="338"/>
      <c r="J46" s="338"/>
      <c r="K46" s="339"/>
    </row>
    <row r="47" spans="1:11" x14ac:dyDescent="0.5">
      <c r="A47" s="321" t="s">
        <v>48</v>
      </c>
      <c r="B47" s="319"/>
      <c r="C47" s="336"/>
      <c r="D47" s="336"/>
      <c r="E47" s="336"/>
      <c r="F47" s="336"/>
      <c r="G47" s="336"/>
      <c r="H47" s="336"/>
      <c r="I47" s="336"/>
      <c r="J47" s="336"/>
      <c r="K47" s="337"/>
    </row>
    <row r="48" spans="1:11" x14ac:dyDescent="0.5">
      <c r="A48" s="318" t="s">
        <v>3</v>
      </c>
      <c r="B48" s="318" t="s">
        <v>49</v>
      </c>
      <c r="C48" s="338">
        <v>0</v>
      </c>
      <c r="D48" s="338"/>
      <c r="E48" s="338">
        <v>0</v>
      </c>
      <c r="F48" s="338">
        <v>0</v>
      </c>
      <c r="G48" s="338">
        <v>3</v>
      </c>
      <c r="H48" s="338">
        <v>2</v>
      </c>
      <c r="I48" s="338">
        <v>1</v>
      </c>
      <c r="J48" s="338">
        <v>2</v>
      </c>
      <c r="K48" s="339">
        <v>2</v>
      </c>
    </row>
    <row r="49" spans="1:11" x14ac:dyDescent="0.5">
      <c r="A49" s="319" t="s">
        <v>4</v>
      </c>
      <c r="B49" s="319" t="s">
        <v>50</v>
      </c>
      <c r="C49" s="336">
        <v>0</v>
      </c>
      <c r="D49" s="336">
        <v>0</v>
      </c>
      <c r="E49" s="336">
        <v>0</v>
      </c>
      <c r="F49" s="336">
        <v>1</v>
      </c>
      <c r="G49" s="336">
        <v>3</v>
      </c>
      <c r="H49" s="336">
        <v>1</v>
      </c>
      <c r="I49" s="336">
        <v>2</v>
      </c>
      <c r="J49" s="336">
        <v>1</v>
      </c>
      <c r="K49" s="337">
        <v>2</v>
      </c>
    </row>
    <row r="50" spans="1:11" x14ac:dyDescent="0.5">
      <c r="A50" s="318" t="s">
        <v>3</v>
      </c>
      <c r="B50" s="318" t="s">
        <v>51</v>
      </c>
      <c r="C50" s="338">
        <v>0</v>
      </c>
      <c r="D50" s="338"/>
      <c r="E50" s="338"/>
      <c r="F50" s="338">
        <v>0</v>
      </c>
      <c r="G50" s="338">
        <v>0</v>
      </c>
      <c r="H50" s="338">
        <v>0</v>
      </c>
      <c r="I50" s="338">
        <v>2</v>
      </c>
      <c r="J50" s="338">
        <v>1</v>
      </c>
      <c r="K50" s="339"/>
    </row>
    <row r="51" spans="1:11" x14ac:dyDescent="0.5">
      <c r="A51" s="319" t="s">
        <v>4</v>
      </c>
      <c r="B51" s="319" t="s">
        <v>53</v>
      </c>
      <c r="C51" s="336">
        <v>0</v>
      </c>
      <c r="D51" s="336"/>
      <c r="E51" s="336"/>
      <c r="F51" s="336">
        <v>0</v>
      </c>
      <c r="G51" s="336">
        <v>0</v>
      </c>
      <c r="H51" s="336">
        <v>0</v>
      </c>
      <c r="I51" s="336">
        <v>1</v>
      </c>
      <c r="J51" s="336">
        <v>2</v>
      </c>
      <c r="K51" s="337"/>
    </row>
    <row r="52" spans="1:11" x14ac:dyDescent="0.5">
      <c r="A52" s="318" t="s">
        <v>7</v>
      </c>
      <c r="B52" s="318" t="s">
        <v>52</v>
      </c>
      <c r="C52" s="338">
        <v>0</v>
      </c>
      <c r="D52" s="338">
        <v>0</v>
      </c>
      <c r="E52" s="338">
        <v>0</v>
      </c>
      <c r="F52" s="338">
        <v>0</v>
      </c>
      <c r="G52" s="338"/>
      <c r="H52" s="338">
        <v>0</v>
      </c>
      <c r="I52" s="338"/>
      <c r="J52" s="338"/>
      <c r="K52" s="339">
        <v>3</v>
      </c>
    </row>
    <row r="53" spans="1:11" x14ac:dyDescent="0.5">
      <c r="A53" s="319" t="s">
        <v>7</v>
      </c>
      <c r="B53" s="319" t="s">
        <v>146</v>
      </c>
      <c r="C53" s="336"/>
      <c r="D53" s="336"/>
      <c r="E53" s="336">
        <v>1</v>
      </c>
      <c r="F53" s="336"/>
      <c r="G53" s="336"/>
      <c r="H53" s="336"/>
      <c r="I53" s="336"/>
      <c r="J53" s="336"/>
      <c r="K53" s="337"/>
    </row>
    <row r="54" spans="1:11" x14ac:dyDescent="0.5">
      <c r="A54" s="318" t="s">
        <v>3</v>
      </c>
      <c r="B54" s="318" t="s">
        <v>147</v>
      </c>
      <c r="C54" s="338"/>
      <c r="D54" s="338"/>
      <c r="E54" s="338"/>
      <c r="F54" s="338">
        <v>1</v>
      </c>
      <c r="G54" s="338"/>
      <c r="H54" s="338"/>
      <c r="I54" s="338"/>
      <c r="J54" s="338"/>
      <c r="K54" s="339"/>
    </row>
    <row r="55" spans="1:11" x14ac:dyDescent="0.5">
      <c r="A55" s="320" t="s">
        <v>4</v>
      </c>
      <c r="B55" s="320" t="s">
        <v>245</v>
      </c>
      <c r="C55" s="340"/>
      <c r="D55" s="340"/>
      <c r="E55" s="340"/>
      <c r="F55" s="340"/>
      <c r="G55" s="340"/>
      <c r="H55" s="340">
        <v>1</v>
      </c>
      <c r="I55" s="340"/>
      <c r="J55" s="340"/>
      <c r="K55" s="341"/>
    </row>
  </sheetData>
  <mergeCells count="1">
    <mergeCell ref="A1:B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21042-E866-B64A-828F-EBC248A8F6C5}">
  <sheetPr codeName="Sheet2"/>
  <dimension ref="B2:L26"/>
  <sheetViews>
    <sheetView zoomScaleNormal="80" zoomScaleSheetLayoutView="100" workbookViewId="0">
      <selection activeCell="H2" sqref="H2"/>
    </sheetView>
  </sheetViews>
  <sheetFormatPr defaultRowHeight="14.1" x14ac:dyDescent="0.5"/>
  <cols>
    <col min="2" max="2" width="13.77734375" customWidth="1"/>
    <col min="3" max="3" width="11" customWidth="1"/>
    <col min="4" max="4" width="9.33203125" customWidth="1"/>
    <col min="5" max="5" width="10.109375" customWidth="1"/>
    <col min="6" max="6" width="9.21875" customWidth="1"/>
    <col min="8" max="8" width="9.77734375" customWidth="1"/>
    <col min="9" max="9" width="11.21875" customWidth="1"/>
    <col min="10" max="10" width="10.6640625" customWidth="1"/>
  </cols>
  <sheetData>
    <row r="2" spans="2:12" x14ac:dyDescent="0.5">
      <c r="B2" s="51" t="s">
        <v>404</v>
      </c>
      <c r="C2" s="51" t="s">
        <v>61</v>
      </c>
      <c r="D2" s="51" t="s">
        <v>62</v>
      </c>
      <c r="E2" s="51" t="s">
        <v>63</v>
      </c>
      <c r="F2" s="51" t="s">
        <v>64</v>
      </c>
      <c r="G2" s="51" t="s">
        <v>65</v>
      </c>
      <c r="H2" s="51" t="s">
        <v>574</v>
      </c>
      <c r="I2" s="51" t="s">
        <v>565</v>
      </c>
      <c r="J2" s="52" t="s">
        <v>66</v>
      </c>
    </row>
    <row r="3" spans="2:12" x14ac:dyDescent="0.5">
      <c r="B3" s="54" t="s">
        <v>0</v>
      </c>
      <c r="C3" s="55">
        <v>2</v>
      </c>
      <c r="D3" s="55">
        <v>1</v>
      </c>
      <c r="E3" s="55">
        <v>0</v>
      </c>
      <c r="F3" s="55">
        <v>2</v>
      </c>
      <c r="G3" s="55">
        <v>-1</v>
      </c>
      <c r="H3" s="55">
        <v>2</v>
      </c>
      <c r="I3" s="55">
        <v>3</v>
      </c>
      <c r="J3" s="56">
        <v>-1</v>
      </c>
    </row>
    <row r="4" spans="2:12" x14ac:dyDescent="0.5">
      <c r="B4" s="54" t="s">
        <v>1</v>
      </c>
      <c r="C4" s="57">
        <v>1</v>
      </c>
      <c r="D4" s="57">
        <v>2</v>
      </c>
      <c r="E4" s="57">
        <v>3</v>
      </c>
      <c r="F4" s="57">
        <v>-1</v>
      </c>
      <c r="G4" s="57">
        <v>2</v>
      </c>
      <c r="H4" s="57">
        <v>-1</v>
      </c>
      <c r="I4" s="57">
        <v>0</v>
      </c>
      <c r="J4" s="58">
        <v>3</v>
      </c>
    </row>
    <row r="5" spans="2:12" x14ac:dyDescent="0.5">
      <c r="B5" s="54" t="s">
        <v>2</v>
      </c>
      <c r="C5" s="55">
        <v>1</v>
      </c>
      <c r="D5" s="55">
        <v>1</v>
      </c>
      <c r="E5" s="55">
        <v>0</v>
      </c>
      <c r="F5" s="55">
        <v>2</v>
      </c>
      <c r="G5" s="55">
        <v>0</v>
      </c>
      <c r="H5" s="55">
        <v>1</v>
      </c>
      <c r="I5" s="55">
        <v>2</v>
      </c>
      <c r="J5" s="56">
        <v>0</v>
      </c>
    </row>
    <row r="6" spans="2:12" x14ac:dyDescent="0.5">
      <c r="B6" s="54" t="s">
        <v>3</v>
      </c>
      <c r="C6" s="55">
        <v>0</v>
      </c>
      <c r="D6" s="55">
        <v>1</v>
      </c>
      <c r="E6" s="55">
        <v>2</v>
      </c>
      <c r="F6" s="55">
        <v>0</v>
      </c>
      <c r="G6" s="55">
        <v>1</v>
      </c>
      <c r="H6" s="55">
        <v>0</v>
      </c>
      <c r="I6" s="55">
        <v>-3</v>
      </c>
      <c r="J6" s="56">
        <v>0</v>
      </c>
    </row>
    <row r="7" spans="2:12" x14ac:dyDescent="0.5">
      <c r="B7" s="54" t="s">
        <v>4</v>
      </c>
      <c r="C7" s="57">
        <v>0</v>
      </c>
      <c r="D7" s="57">
        <v>1</v>
      </c>
      <c r="E7" s="57">
        <v>2</v>
      </c>
      <c r="F7" s="57">
        <v>0</v>
      </c>
      <c r="G7" s="57">
        <v>2</v>
      </c>
      <c r="H7" s="57">
        <v>0</v>
      </c>
      <c r="I7" s="57">
        <v>-1</v>
      </c>
      <c r="J7" s="58">
        <v>3</v>
      </c>
    </row>
    <row r="8" spans="2:12" x14ac:dyDescent="0.5">
      <c r="B8" s="28" t="s">
        <v>7</v>
      </c>
      <c r="C8" s="29">
        <v>0</v>
      </c>
      <c r="D8" s="29">
        <v>-2</v>
      </c>
      <c r="E8" s="29">
        <v>-3</v>
      </c>
      <c r="F8" s="29">
        <v>1</v>
      </c>
      <c r="G8" s="29">
        <v>0</v>
      </c>
      <c r="H8" s="29">
        <v>2</v>
      </c>
      <c r="I8" s="29">
        <v>0</v>
      </c>
      <c r="J8" s="30">
        <v>-1</v>
      </c>
    </row>
    <row r="10" spans="2:12" x14ac:dyDescent="0.5">
      <c r="B10" s="59" t="s">
        <v>405</v>
      </c>
      <c r="C10" s="60" t="s">
        <v>406</v>
      </c>
      <c r="E10" s="298" t="s">
        <v>61</v>
      </c>
      <c r="F10" s="299" t="s">
        <v>62</v>
      </c>
      <c r="G10" s="299" t="s">
        <v>63</v>
      </c>
      <c r="H10" s="299" t="s">
        <v>64</v>
      </c>
      <c r="I10" s="299" t="s">
        <v>65</v>
      </c>
      <c r="J10" s="299" t="s">
        <v>574</v>
      </c>
      <c r="K10" s="312" t="s">
        <v>565</v>
      </c>
      <c r="L10" s="300" t="s">
        <v>66</v>
      </c>
    </row>
    <row r="11" spans="2:12" x14ac:dyDescent="0.5">
      <c r="B11" s="61" t="s">
        <v>4</v>
      </c>
      <c r="C11" s="62" t="s">
        <v>14</v>
      </c>
      <c r="E11" s="301" t="s">
        <v>16</v>
      </c>
      <c r="F11" s="302" t="s">
        <v>16</v>
      </c>
      <c r="G11" s="302" t="s">
        <v>16</v>
      </c>
      <c r="H11" s="302" t="s">
        <v>566</v>
      </c>
      <c r="I11" s="302" t="s">
        <v>16</v>
      </c>
      <c r="J11" s="302" t="s">
        <v>566</v>
      </c>
      <c r="K11" s="316" t="s">
        <v>542</v>
      </c>
      <c r="L11" s="303" t="s">
        <v>16</v>
      </c>
    </row>
    <row r="12" spans="2:12" x14ac:dyDescent="0.5">
      <c r="B12" s="61" t="s">
        <v>4</v>
      </c>
      <c r="C12" s="62" t="s">
        <v>16</v>
      </c>
      <c r="E12" s="304" t="s">
        <v>566</v>
      </c>
      <c r="F12" s="305" t="s">
        <v>77</v>
      </c>
      <c r="G12" s="305" t="s">
        <v>77</v>
      </c>
      <c r="H12" s="305" t="s">
        <v>18</v>
      </c>
      <c r="I12" s="305" t="s">
        <v>18</v>
      </c>
      <c r="J12" s="305" t="s">
        <v>18</v>
      </c>
      <c r="K12" s="317" t="s">
        <v>566</v>
      </c>
      <c r="L12" s="306" t="s">
        <v>77</v>
      </c>
    </row>
    <row r="13" spans="2:12" x14ac:dyDescent="0.5">
      <c r="B13" s="61" t="s">
        <v>2</v>
      </c>
      <c r="C13" s="62" t="s">
        <v>542</v>
      </c>
      <c r="E13" s="301" t="s">
        <v>18</v>
      </c>
      <c r="F13" s="302" t="s">
        <v>542</v>
      </c>
      <c r="G13" s="302" t="s">
        <v>14</v>
      </c>
      <c r="H13" s="302" t="s">
        <v>77</v>
      </c>
      <c r="I13" s="302" t="s">
        <v>77</v>
      </c>
      <c r="J13" s="302" t="s">
        <v>77</v>
      </c>
      <c r="K13" s="316" t="s">
        <v>18</v>
      </c>
      <c r="L13" s="303" t="s">
        <v>14</v>
      </c>
    </row>
    <row r="14" spans="2:12" x14ac:dyDescent="0.5">
      <c r="B14" s="61" t="s">
        <v>0</v>
      </c>
      <c r="C14" s="62" t="s">
        <v>566</v>
      </c>
      <c r="E14" s="310" t="s">
        <v>77</v>
      </c>
      <c r="F14" s="305" t="s">
        <v>14</v>
      </c>
      <c r="G14" s="305" t="s">
        <v>76</v>
      </c>
      <c r="H14" s="305" t="s">
        <v>542</v>
      </c>
      <c r="I14" s="305" t="s">
        <v>14</v>
      </c>
      <c r="J14" s="305" t="s">
        <v>542</v>
      </c>
      <c r="K14" s="314"/>
      <c r="L14" s="306" t="s">
        <v>76</v>
      </c>
    </row>
    <row r="15" spans="2:12" x14ac:dyDescent="0.5">
      <c r="B15" s="61" t="s">
        <v>7</v>
      </c>
      <c r="C15" s="62" t="s">
        <v>13</v>
      </c>
      <c r="E15" s="311" t="s">
        <v>542</v>
      </c>
      <c r="F15" s="302" t="s">
        <v>76</v>
      </c>
      <c r="G15" s="302" t="s">
        <v>19</v>
      </c>
      <c r="H15" s="302" t="s">
        <v>13</v>
      </c>
      <c r="I15" s="302" t="s">
        <v>76</v>
      </c>
      <c r="J15" s="302" t="s">
        <v>13</v>
      </c>
      <c r="K15" s="313"/>
      <c r="L15" s="303" t="s">
        <v>19</v>
      </c>
    </row>
    <row r="16" spans="2:12" x14ac:dyDescent="0.5">
      <c r="B16" s="61" t="s">
        <v>1</v>
      </c>
      <c r="C16" s="62" t="s">
        <v>76</v>
      </c>
      <c r="E16" s="304" t="s">
        <v>13</v>
      </c>
      <c r="F16" s="305" t="s">
        <v>19</v>
      </c>
      <c r="G16" s="305"/>
      <c r="H16" s="305" t="s">
        <v>19</v>
      </c>
      <c r="I16" s="305" t="s">
        <v>19</v>
      </c>
      <c r="J16" s="305" t="s">
        <v>19</v>
      </c>
      <c r="K16" s="314"/>
      <c r="L16" s="306"/>
    </row>
    <row r="17" spans="2:12" x14ac:dyDescent="0.5">
      <c r="B17" s="61" t="s">
        <v>3</v>
      </c>
      <c r="C17" s="62" t="s">
        <v>19</v>
      </c>
      <c r="E17" s="301" t="s">
        <v>14</v>
      </c>
      <c r="F17" s="302"/>
      <c r="G17" s="302"/>
      <c r="H17" s="302"/>
      <c r="I17" s="302"/>
      <c r="J17" s="302"/>
      <c r="K17" s="313"/>
      <c r="L17" s="303"/>
    </row>
    <row r="18" spans="2:12" x14ac:dyDescent="0.5">
      <c r="B18" s="61" t="s">
        <v>3</v>
      </c>
      <c r="C18" s="62" t="s">
        <v>77</v>
      </c>
      <c r="E18" s="304" t="s">
        <v>76</v>
      </c>
      <c r="F18" s="305"/>
      <c r="G18" s="305"/>
      <c r="H18" s="305"/>
      <c r="I18" s="305"/>
      <c r="J18" s="305"/>
      <c r="K18" s="314"/>
      <c r="L18" s="306"/>
    </row>
    <row r="19" spans="2:12" x14ac:dyDescent="0.5">
      <c r="B19" s="31" t="s">
        <v>7</v>
      </c>
      <c r="C19" s="32" t="s">
        <v>18</v>
      </c>
      <c r="E19" s="307" t="s">
        <v>19</v>
      </c>
      <c r="F19" s="308"/>
      <c r="G19" s="308"/>
      <c r="H19" s="308"/>
      <c r="I19" s="308"/>
      <c r="J19" s="308"/>
      <c r="K19" s="315"/>
      <c r="L19" s="309"/>
    </row>
    <row r="21" spans="2:12" x14ac:dyDescent="0.5">
      <c r="B21" s="63" t="s">
        <v>78</v>
      </c>
      <c r="C21" s="64" t="s">
        <v>407</v>
      </c>
      <c r="D21" s="64" t="s">
        <v>61</v>
      </c>
      <c r="E21" s="64" t="s">
        <v>62</v>
      </c>
      <c r="F21" s="64" t="s">
        <v>63</v>
      </c>
      <c r="G21" s="64" t="s">
        <v>64</v>
      </c>
      <c r="H21" s="64" t="s">
        <v>65</v>
      </c>
      <c r="I21" s="64" t="s">
        <v>574</v>
      </c>
      <c r="J21" s="64" t="s">
        <v>565</v>
      </c>
      <c r="K21" s="65" t="s">
        <v>66</v>
      </c>
    </row>
    <row r="22" spans="2:12" x14ac:dyDescent="0.5">
      <c r="B22" s="66" t="s">
        <v>0</v>
      </c>
      <c r="C22" s="67" t="s">
        <v>79</v>
      </c>
      <c r="D22" s="68">
        <v>0</v>
      </c>
      <c r="E22" s="68">
        <v>1</v>
      </c>
      <c r="F22" s="68">
        <v>1</v>
      </c>
      <c r="G22" s="68">
        <v>2</v>
      </c>
      <c r="H22" s="68">
        <v>0</v>
      </c>
      <c r="I22" s="68">
        <v>1</v>
      </c>
      <c r="J22" s="68">
        <v>2</v>
      </c>
      <c r="K22" s="69">
        <v>0</v>
      </c>
    </row>
    <row r="23" spans="2:12" x14ac:dyDescent="0.5">
      <c r="B23" s="66" t="s">
        <v>2</v>
      </c>
      <c r="C23" s="67" t="s">
        <v>80</v>
      </c>
      <c r="D23" s="70">
        <v>1</v>
      </c>
      <c r="E23" s="70">
        <v>1</v>
      </c>
      <c r="F23" s="70">
        <v>2</v>
      </c>
      <c r="G23" s="70">
        <v>1</v>
      </c>
      <c r="H23" s="70">
        <v>0</v>
      </c>
      <c r="I23" s="70">
        <v>2</v>
      </c>
      <c r="J23" s="70">
        <v>2</v>
      </c>
      <c r="K23" s="71">
        <v>0</v>
      </c>
    </row>
    <row r="24" spans="2:12" x14ac:dyDescent="0.5">
      <c r="B24" s="66" t="s">
        <v>3</v>
      </c>
      <c r="C24" s="67" t="s">
        <v>81</v>
      </c>
      <c r="D24" s="68">
        <v>0</v>
      </c>
      <c r="E24" s="68">
        <v>0</v>
      </c>
      <c r="F24" s="68">
        <v>0</v>
      </c>
      <c r="G24" s="68">
        <v>-1</v>
      </c>
      <c r="H24" s="68">
        <v>0</v>
      </c>
      <c r="I24" s="68">
        <v>-2</v>
      </c>
      <c r="J24" s="68">
        <v>-2</v>
      </c>
      <c r="K24" s="69">
        <v>1</v>
      </c>
    </row>
    <row r="25" spans="2:12" x14ac:dyDescent="0.5">
      <c r="B25" s="66" t="s">
        <v>4</v>
      </c>
      <c r="C25" s="67" t="s">
        <v>53</v>
      </c>
      <c r="D25" s="70">
        <v>0</v>
      </c>
      <c r="E25" s="70">
        <v>0</v>
      </c>
      <c r="F25" s="70">
        <v>0</v>
      </c>
      <c r="G25" s="70">
        <v>0</v>
      </c>
      <c r="H25" s="70">
        <v>0</v>
      </c>
      <c r="I25" s="70">
        <v>0</v>
      </c>
      <c r="J25" s="70">
        <v>-1</v>
      </c>
      <c r="K25" s="71">
        <v>0</v>
      </c>
    </row>
    <row r="26" spans="2:12" x14ac:dyDescent="0.5">
      <c r="B26" s="33" t="s">
        <v>7</v>
      </c>
      <c r="C26" s="34" t="s">
        <v>82</v>
      </c>
      <c r="D26" s="35">
        <v>0</v>
      </c>
      <c r="E26" s="35">
        <v>-1</v>
      </c>
      <c r="F26" s="35">
        <v>-2</v>
      </c>
      <c r="G26" s="35">
        <v>-1</v>
      </c>
      <c r="H26" s="35">
        <v>1</v>
      </c>
      <c r="I26" s="35">
        <v>0</v>
      </c>
      <c r="J26" s="35">
        <v>0</v>
      </c>
      <c r="K26" s="36">
        <v>0</v>
      </c>
    </row>
  </sheetData>
  <sortState xmlns:xlrd2="http://schemas.microsoft.com/office/spreadsheetml/2017/richdata2" ref="E11:E19">
    <sortCondition ref="E10"/>
  </sortState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35CA9-083C-4F1B-A3F8-41B3449D6CE4}">
  <dimension ref="A1:K50"/>
  <sheetViews>
    <sheetView tabSelected="1" workbookViewId="0">
      <pane ySplit="4" topLeftCell="A5" activePane="bottomLeft" state="frozen"/>
      <selection pane="bottomLeft" activeCell="A5" sqref="A5"/>
    </sheetView>
  </sheetViews>
  <sheetFormatPr defaultRowHeight="14.1" x14ac:dyDescent="0.5"/>
  <cols>
    <col min="1" max="1" width="8.44140625" bestFit="1" customWidth="1"/>
    <col min="2" max="2" width="12" bestFit="1" customWidth="1"/>
    <col min="3" max="3" width="9.38671875" bestFit="1" customWidth="1"/>
    <col min="4" max="4" width="10.44140625" bestFit="1" customWidth="1"/>
    <col min="5" max="5" width="9.44140625" bestFit="1" customWidth="1"/>
    <col min="6" max="6" width="14.0546875" bestFit="1" customWidth="1"/>
    <col min="7" max="7" width="12.83203125" bestFit="1" customWidth="1"/>
    <col min="8" max="8" width="10.44140625" bestFit="1" customWidth="1"/>
    <col min="9" max="9" width="7.94140625" bestFit="1" customWidth="1"/>
    <col min="10" max="10" width="7.33203125" style="379" bestFit="1" customWidth="1"/>
    <col min="11" max="11" width="25.33203125" style="14" bestFit="1" customWidth="1"/>
  </cols>
  <sheetData>
    <row r="1" spans="1:11" ht="19.8" x14ac:dyDescent="0.65">
      <c r="A1" s="375" t="s">
        <v>575</v>
      </c>
      <c r="B1" s="374"/>
      <c r="C1" s="374"/>
      <c r="D1" s="374"/>
      <c r="E1" s="374"/>
      <c r="F1" s="374"/>
      <c r="G1" s="374"/>
      <c r="H1" s="374"/>
      <c r="I1" s="374"/>
      <c r="J1" s="374"/>
      <c r="K1" s="374"/>
    </row>
    <row r="2" spans="1:11" ht="42" customHeight="1" x14ac:dyDescent="0.5">
      <c r="A2" s="377" t="s">
        <v>576</v>
      </c>
      <c r="B2" s="376"/>
      <c r="C2" s="376"/>
      <c r="D2" s="376"/>
      <c r="E2" s="376"/>
      <c r="F2" s="376"/>
      <c r="G2" s="376"/>
      <c r="H2" s="376"/>
      <c r="I2" s="376"/>
      <c r="J2" s="376"/>
      <c r="K2" s="376"/>
    </row>
    <row r="4" spans="1:11" x14ac:dyDescent="0.5">
      <c r="A4" s="186" t="s">
        <v>489</v>
      </c>
      <c r="B4" s="186" t="s">
        <v>490</v>
      </c>
      <c r="C4" s="186" t="s">
        <v>577</v>
      </c>
      <c r="D4" s="186" t="s">
        <v>0</v>
      </c>
      <c r="E4" s="186" t="s">
        <v>1</v>
      </c>
      <c r="F4" s="186" t="s">
        <v>2</v>
      </c>
      <c r="G4" s="186" t="s">
        <v>3</v>
      </c>
      <c r="H4" s="186" t="s">
        <v>4</v>
      </c>
      <c r="I4" s="186" t="s">
        <v>7</v>
      </c>
      <c r="J4" s="378" t="s">
        <v>283</v>
      </c>
      <c r="K4" s="380" t="s">
        <v>578</v>
      </c>
    </row>
    <row r="5" spans="1:11" x14ac:dyDescent="0.5">
      <c r="A5" t="s">
        <v>61</v>
      </c>
      <c r="B5" t="s">
        <v>16</v>
      </c>
      <c r="C5" t="s">
        <v>579</v>
      </c>
      <c r="D5" t="s">
        <v>580</v>
      </c>
      <c r="E5" t="s">
        <v>581</v>
      </c>
      <c r="F5" t="s">
        <v>582</v>
      </c>
      <c r="G5" t="s">
        <v>583</v>
      </c>
      <c r="H5" t="s">
        <v>584</v>
      </c>
      <c r="I5" t="s">
        <v>585</v>
      </c>
      <c r="J5" s="379">
        <v>40</v>
      </c>
      <c r="K5" s="14" t="s">
        <v>586</v>
      </c>
    </row>
    <row r="6" spans="1:11" x14ac:dyDescent="0.5">
      <c r="A6" t="s">
        <v>61</v>
      </c>
      <c r="B6" t="s">
        <v>566</v>
      </c>
      <c r="C6" t="s">
        <v>587</v>
      </c>
      <c r="D6" t="s">
        <v>588</v>
      </c>
      <c r="E6" t="s">
        <v>589</v>
      </c>
      <c r="F6" t="s">
        <v>590</v>
      </c>
      <c r="G6" t="s">
        <v>591</v>
      </c>
      <c r="H6" t="s">
        <v>591</v>
      </c>
      <c r="I6" t="s">
        <v>592</v>
      </c>
      <c r="J6" s="379">
        <v>45</v>
      </c>
      <c r="K6" s="14" t="s">
        <v>593</v>
      </c>
    </row>
    <row r="7" spans="1:11" x14ac:dyDescent="0.5">
      <c r="A7" t="s">
        <v>61</v>
      </c>
      <c r="B7" t="s">
        <v>18</v>
      </c>
      <c r="C7" t="s">
        <v>594</v>
      </c>
      <c r="D7" t="s">
        <v>580</v>
      </c>
      <c r="E7" t="s">
        <v>595</v>
      </c>
      <c r="F7" t="s">
        <v>596</v>
      </c>
      <c r="G7" t="s">
        <v>597</v>
      </c>
      <c r="H7" t="s">
        <v>591</v>
      </c>
      <c r="I7" t="s">
        <v>584</v>
      </c>
      <c r="J7" s="379">
        <v>40</v>
      </c>
      <c r="K7" s="14" t="s">
        <v>598</v>
      </c>
    </row>
    <row r="8" spans="1:11" x14ac:dyDescent="0.5">
      <c r="A8" t="s">
        <v>61</v>
      </c>
      <c r="B8" t="s">
        <v>17</v>
      </c>
      <c r="C8" t="s">
        <v>599</v>
      </c>
      <c r="D8" t="s">
        <v>600</v>
      </c>
      <c r="E8" t="s">
        <v>582</v>
      </c>
      <c r="F8" t="s">
        <v>595</v>
      </c>
      <c r="G8" t="s">
        <v>584</v>
      </c>
      <c r="H8" t="s">
        <v>601</v>
      </c>
      <c r="I8" t="s">
        <v>583</v>
      </c>
      <c r="J8" s="379">
        <v>40</v>
      </c>
      <c r="K8" s="14" t="s">
        <v>602</v>
      </c>
    </row>
    <row r="9" spans="1:11" x14ac:dyDescent="0.5">
      <c r="A9" t="s">
        <v>61</v>
      </c>
      <c r="B9" t="s">
        <v>542</v>
      </c>
      <c r="C9" t="s">
        <v>587</v>
      </c>
      <c r="D9" t="s">
        <v>588</v>
      </c>
      <c r="E9" t="s">
        <v>589</v>
      </c>
      <c r="F9" t="s">
        <v>590</v>
      </c>
      <c r="G9" t="s">
        <v>591</v>
      </c>
      <c r="H9" t="s">
        <v>591</v>
      </c>
      <c r="I9" t="s">
        <v>592</v>
      </c>
      <c r="J9" s="379">
        <v>45</v>
      </c>
      <c r="K9" s="14" t="s">
        <v>593</v>
      </c>
    </row>
    <row r="10" spans="1:11" x14ac:dyDescent="0.5">
      <c r="A10" t="s">
        <v>61</v>
      </c>
      <c r="B10" t="s">
        <v>13</v>
      </c>
      <c r="C10" t="s">
        <v>594</v>
      </c>
      <c r="D10" t="s">
        <v>580</v>
      </c>
      <c r="E10" t="s">
        <v>595</v>
      </c>
      <c r="F10" t="s">
        <v>596</v>
      </c>
      <c r="G10" t="s">
        <v>597</v>
      </c>
      <c r="H10" t="s">
        <v>591</v>
      </c>
      <c r="I10" t="s">
        <v>584</v>
      </c>
      <c r="J10" s="379">
        <v>40</v>
      </c>
      <c r="K10" s="14" t="s">
        <v>603</v>
      </c>
    </row>
    <row r="11" spans="1:11" x14ac:dyDescent="0.5">
      <c r="A11" t="s">
        <v>61</v>
      </c>
      <c r="B11" t="s">
        <v>14</v>
      </c>
      <c r="C11" t="s">
        <v>604</v>
      </c>
      <c r="D11" t="s">
        <v>580</v>
      </c>
      <c r="E11" t="s">
        <v>605</v>
      </c>
      <c r="F11" t="s">
        <v>581</v>
      </c>
      <c r="G11" t="s">
        <v>606</v>
      </c>
      <c r="H11" t="s">
        <v>601</v>
      </c>
      <c r="I11" t="s">
        <v>592</v>
      </c>
      <c r="J11" s="379">
        <v>40</v>
      </c>
      <c r="K11" s="14" t="s">
        <v>607</v>
      </c>
    </row>
    <row r="12" spans="1:11" x14ac:dyDescent="0.5">
      <c r="A12" t="s">
        <v>61</v>
      </c>
      <c r="B12" t="s">
        <v>15</v>
      </c>
      <c r="C12" t="s">
        <v>604</v>
      </c>
      <c r="D12" t="s">
        <v>580</v>
      </c>
      <c r="E12" t="s">
        <v>605</v>
      </c>
      <c r="F12" t="s">
        <v>581</v>
      </c>
      <c r="G12" t="s">
        <v>606</v>
      </c>
      <c r="H12" t="s">
        <v>601</v>
      </c>
      <c r="I12" t="s">
        <v>592</v>
      </c>
      <c r="J12" s="379">
        <v>40</v>
      </c>
      <c r="K12" s="14" t="s">
        <v>608</v>
      </c>
    </row>
    <row r="13" spans="1:11" x14ac:dyDescent="0.5">
      <c r="A13" t="s">
        <v>61</v>
      </c>
      <c r="B13" t="s">
        <v>19</v>
      </c>
      <c r="C13" t="s">
        <v>599</v>
      </c>
      <c r="D13" t="s">
        <v>600</v>
      </c>
      <c r="E13" t="s">
        <v>582</v>
      </c>
      <c r="F13" t="s">
        <v>595</v>
      </c>
      <c r="G13" t="s">
        <v>584</v>
      </c>
      <c r="H13" t="s">
        <v>601</v>
      </c>
      <c r="I13" t="s">
        <v>583</v>
      </c>
      <c r="J13" s="379">
        <v>40</v>
      </c>
      <c r="K13" s="14" t="s">
        <v>609</v>
      </c>
    </row>
    <row r="14" spans="1:11" x14ac:dyDescent="0.5">
      <c r="A14" t="s">
        <v>62</v>
      </c>
      <c r="B14" t="s">
        <v>16</v>
      </c>
      <c r="C14" t="s">
        <v>579</v>
      </c>
      <c r="D14" t="s">
        <v>582</v>
      </c>
      <c r="E14" t="s">
        <v>610</v>
      </c>
      <c r="F14" t="s">
        <v>582</v>
      </c>
      <c r="G14" t="s">
        <v>596</v>
      </c>
      <c r="H14" t="s">
        <v>605</v>
      </c>
      <c r="I14" t="s">
        <v>611</v>
      </c>
      <c r="J14" s="379">
        <v>40</v>
      </c>
      <c r="K14" s="14" t="s">
        <v>586</v>
      </c>
    </row>
    <row r="15" spans="1:11" x14ac:dyDescent="0.5">
      <c r="A15" t="s">
        <v>62</v>
      </c>
      <c r="B15" t="s">
        <v>17</v>
      </c>
      <c r="C15" t="s">
        <v>599</v>
      </c>
      <c r="D15" t="s">
        <v>612</v>
      </c>
      <c r="E15" t="s">
        <v>580</v>
      </c>
      <c r="F15" t="s">
        <v>595</v>
      </c>
      <c r="G15" t="s">
        <v>605</v>
      </c>
      <c r="H15" t="s">
        <v>589</v>
      </c>
      <c r="I15" t="s">
        <v>613</v>
      </c>
      <c r="J15" s="379">
        <v>40</v>
      </c>
      <c r="K15" s="14" t="s">
        <v>602</v>
      </c>
    </row>
    <row r="16" spans="1:11" x14ac:dyDescent="0.5">
      <c r="A16" t="s">
        <v>62</v>
      </c>
      <c r="B16" t="s">
        <v>542</v>
      </c>
      <c r="C16" t="s">
        <v>587</v>
      </c>
      <c r="D16" t="s">
        <v>614</v>
      </c>
      <c r="E16" t="s">
        <v>615</v>
      </c>
      <c r="F16" t="s">
        <v>590</v>
      </c>
      <c r="G16" t="s">
        <v>595</v>
      </c>
      <c r="H16" t="s">
        <v>595</v>
      </c>
      <c r="I16" t="s">
        <v>616</v>
      </c>
      <c r="J16" s="379">
        <v>45</v>
      </c>
      <c r="K16" s="14" t="s">
        <v>593</v>
      </c>
    </row>
    <row r="17" spans="1:11" x14ac:dyDescent="0.5">
      <c r="A17" t="s">
        <v>62</v>
      </c>
      <c r="B17" t="s">
        <v>14</v>
      </c>
      <c r="C17" t="s">
        <v>604</v>
      </c>
      <c r="D17" t="s">
        <v>582</v>
      </c>
      <c r="E17" t="s">
        <v>617</v>
      </c>
      <c r="F17" t="s">
        <v>581</v>
      </c>
      <c r="G17" t="s">
        <v>582</v>
      </c>
      <c r="H17" t="s">
        <v>589</v>
      </c>
      <c r="I17" t="s">
        <v>616</v>
      </c>
      <c r="J17" s="379">
        <v>40</v>
      </c>
      <c r="K17" s="14" t="s">
        <v>607</v>
      </c>
    </row>
    <row r="18" spans="1:11" x14ac:dyDescent="0.5">
      <c r="A18" t="s">
        <v>62</v>
      </c>
      <c r="B18" t="s">
        <v>15</v>
      </c>
      <c r="C18" t="s">
        <v>604</v>
      </c>
      <c r="D18" t="s">
        <v>582</v>
      </c>
      <c r="E18" t="s">
        <v>617</v>
      </c>
      <c r="F18" t="s">
        <v>581</v>
      </c>
      <c r="G18" t="s">
        <v>582</v>
      </c>
      <c r="H18" t="s">
        <v>589</v>
      </c>
      <c r="I18" t="s">
        <v>616</v>
      </c>
      <c r="J18" s="379">
        <v>40</v>
      </c>
      <c r="K18" s="14" t="s">
        <v>608</v>
      </c>
    </row>
    <row r="19" spans="1:11" x14ac:dyDescent="0.5">
      <c r="A19" t="s">
        <v>62</v>
      </c>
      <c r="B19" t="s">
        <v>19</v>
      </c>
      <c r="C19" t="s">
        <v>599</v>
      </c>
      <c r="D19" t="s">
        <v>612</v>
      </c>
      <c r="E19" t="s">
        <v>580</v>
      </c>
      <c r="F19" t="s">
        <v>595</v>
      </c>
      <c r="G19" t="s">
        <v>605</v>
      </c>
      <c r="H19" t="s">
        <v>589</v>
      </c>
      <c r="I19" t="s">
        <v>613</v>
      </c>
      <c r="J19" s="379">
        <v>40</v>
      </c>
      <c r="K19" s="14" t="s">
        <v>609</v>
      </c>
    </row>
    <row r="20" spans="1:11" x14ac:dyDescent="0.5">
      <c r="A20" t="s">
        <v>63</v>
      </c>
      <c r="B20" t="s">
        <v>16</v>
      </c>
      <c r="C20" t="s">
        <v>579</v>
      </c>
      <c r="D20" t="s">
        <v>606</v>
      </c>
      <c r="E20" t="s">
        <v>613</v>
      </c>
      <c r="F20" t="s">
        <v>606</v>
      </c>
      <c r="G20" t="s">
        <v>618</v>
      </c>
      <c r="H20" t="s">
        <v>617</v>
      </c>
      <c r="I20" t="s">
        <v>600</v>
      </c>
      <c r="J20" s="379">
        <v>40</v>
      </c>
      <c r="K20" s="14" t="s">
        <v>586</v>
      </c>
    </row>
    <row r="21" spans="1:11" x14ac:dyDescent="0.5">
      <c r="A21" t="s">
        <v>63</v>
      </c>
      <c r="B21" t="s">
        <v>17</v>
      </c>
      <c r="C21" t="s">
        <v>599</v>
      </c>
      <c r="D21" t="s">
        <v>592</v>
      </c>
      <c r="E21" t="s">
        <v>619</v>
      </c>
      <c r="F21" t="s">
        <v>591</v>
      </c>
      <c r="G21" t="s">
        <v>617</v>
      </c>
      <c r="H21" t="s">
        <v>615</v>
      </c>
      <c r="I21" t="s">
        <v>610</v>
      </c>
      <c r="J21" s="379">
        <v>40</v>
      </c>
      <c r="K21" s="14" t="s">
        <v>602</v>
      </c>
    </row>
    <row r="22" spans="1:11" x14ac:dyDescent="0.5">
      <c r="A22" t="s">
        <v>63</v>
      </c>
      <c r="B22" t="s">
        <v>14</v>
      </c>
      <c r="C22" t="s">
        <v>604</v>
      </c>
      <c r="D22" t="s">
        <v>606</v>
      </c>
      <c r="E22" t="s">
        <v>620</v>
      </c>
      <c r="F22" t="s">
        <v>597</v>
      </c>
      <c r="G22" t="s">
        <v>580</v>
      </c>
      <c r="H22" t="s">
        <v>615</v>
      </c>
      <c r="I22" t="s">
        <v>621</v>
      </c>
      <c r="J22" s="379">
        <v>40</v>
      </c>
      <c r="K22" s="14" t="s">
        <v>607</v>
      </c>
    </row>
    <row r="23" spans="1:11" x14ac:dyDescent="0.5">
      <c r="A23" t="s">
        <v>63</v>
      </c>
      <c r="B23" t="s">
        <v>15</v>
      </c>
      <c r="C23" t="s">
        <v>604</v>
      </c>
      <c r="D23" t="s">
        <v>606</v>
      </c>
      <c r="E23" t="s">
        <v>620</v>
      </c>
      <c r="F23" t="s">
        <v>597</v>
      </c>
      <c r="G23" t="s">
        <v>580</v>
      </c>
      <c r="H23" t="s">
        <v>615</v>
      </c>
      <c r="I23" t="s">
        <v>621</v>
      </c>
      <c r="J23" s="379">
        <v>40</v>
      </c>
      <c r="K23" s="14" t="s">
        <v>608</v>
      </c>
    </row>
    <row r="24" spans="1:11" x14ac:dyDescent="0.5">
      <c r="A24" t="s">
        <v>63</v>
      </c>
      <c r="B24" t="s">
        <v>19</v>
      </c>
      <c r="C24" t="s">
        <v>599</v>
      </c>
      <c r="D24" t="s">
        <v>592</v>
      </c>
      <c r="E24" t="s">
        <v>619</v>
      </c>
      <c r="F24" t="s">
        <v>591</v>
      </c>
      <c r="G24" t="s">
        <v>617</v>
      </c>
      <c r="H24" t="s">
        <v>615</v>
      </c>
      <c r="I24" t="s">
        <v>610</v>
      </c>
      <c r="J24" s="379">
        <v>40</v>
      </c>
      <c r="K24" s="14" t="s">
        <v>609</v>
      </c>
    </row>
    <row r="25" spans="1:11" x14ac:dyDescent="0.5">
      <c r="A25" t="s">
        <v>64</v>
      </c>
      <c r="B25" t="s">
        <v>566</v>
      </c>
      <c r="C25" t="s">
        <v>587</v>
      </c>
      <c r="D25" t="s">
        <v>588</v>
      </c>
      <c r="E25" t="s">
        <v>622</v>
      </c>
      <c r="F25" t="s">
        <v>623</v>
      </c>
      <c r="G25" t="s">
        <v>591</v>
      </c>
      <c r="H25" t="s">
        <v>591</v>
      </c>
      <c r="I25" t="s">
        <v>612</v>
      </c>
      <c r="J25" s="379">
        <v>45</v>
      </c>
      <c r="K25" s="14" t="s">
        <v>593</v>
      </c>
    </row>
    <row r="26" spans="1:11" x14ac:dyDescent="0.5">
      <c r="A26" t="s">
        <v>64</v>
      </c>
      <c r="B26" t="s">
        <v>18</v>
      </c>
      <c r="C26" t="s">
        <v>594</v>
      </c>
      <c r="D26" t="s">
        <v>580</v>
      </c>
      <c r="E26" t="s">
        <v>624</v>
      </c>
      <c r="F26" t="s">
        <v>618</v>
      </c>
      <c r="G26" t="s">
        <v>597</v>
      </c>
      <c r="H26" t="s">
        <v>591</v>
      </c>
      <c r="I26" t="s">
        <v>605</v>
      </c>
      <c r="J26" s="379">
        <v>40</v>
      </c>
      <c r="K26" s="14" t="s">
        <v>598</v>
      </c>
    </row>
    <row r="27" spans="1:11" x14ac:dyDescent="0.5">
      <c r="A27" t="s">
        <v>64</v>
      </c>
      <c r="B27" t="s">
        <v>17</v>
      </c>
      <c r="C27" t="s">
        <v>599</v>
      </c>
      <c r="D27" t="s">
        <v>600</v>
      </c>
      <c r="E27" t="s">
        <v>625</v>
      </c>
      <c r="F27" t="s">
        <v>626</v>
      </c>
      <c r="G27" t="s">
        <v>584</v>
      </c>
      <c r="H27" t="s">
        <v>601</v>
      </c>
      <c r="I27" t="s">
        <v>596</v>
      </c>
      <c r="J27" s="379">
        <v>40</v>
      </c>
      <c r="K27" s="14" t="s">
        <v>602</v>
      </c>
    </row>
    <row r="28" spans="1:11" x14ac:dyDescent="0.5">
      <c r="A28" t="s">
        <v>64</v>
      </c>
      <c r="B28" t="s">
        <v>542</v>
      </c>
      <c r="C28" t="s">
        <v>587</v>
      </c>
      <c r="D28" t="s">
        <v>588</v>
      </c>
      <c r="E28" t="s">
        <v>622</v>
      </c>
      <c r="F28" t="s">
        <v>623</v>
      </c>
      <c r="G28" t="s">
        <v>591</v>
      </c>
      <c r="H28" t="s">
        <v>591</v>
      </c>
      <c r="I28" t="s">
        <v>612</v>
      </c>
      <c r="J28" s="379">
        <v>45</v>
      </c>
      <c r="K28" s="14" t="s">
        <v>593</v>
      </c>
    </row>
    <row r="29" spans="1:11" x14ac:dyDescent="0.5">
      <c r="A29" t="s">
        <v>64</v>
      </c>
      <c r="B29" t="s">
        <v>13</v>
      </c>
      <c r="C29" t="s">
        <v>594</v>
      </c>
      <c r="D29" t="s">
        <v>580</v>
      </c>
      <c r="E29" t="s">
        <v>624</v>
      </c>
      <c r="F29" t="s">
        <v>618</v>
      </c>
      <c r="G29" t="s">
        <v>597</v>
      </c>
      <c r="H29" t="s">
        <v>591</v>
      </c>
      <c r="I29" t="s">
        <v>605</v>
      </c>
      <c r="J29" s="379">
        <v>40</v>
      </c>
      <c r="K29" s="14" t="s">
        <v>603</v>
      </c>
    </row>
    <row r="30" spans="1:11" x14ac:dyDescent="0.5">
      <c r="A30" t="s">
        <v>64</v>
      </c>
      <c r="B30" t="s">
        <v>19</v>
      </c>
      <c r="C30" t="s">
        <v>599</v>
      </c>
      <c r="D30" t="s">
        <v>600</v>
      </c>
      <c r="E30" t="s">
        <v>625</v>
      </c>
      <c r="F30" t="s">
        <v>626</v>
      </c>
      <c r="G30" t="s">
        <v>584</v>
      </c>
      <c r="H30" t="s">
        <v>601</v>
      </c>
      <c r="I30" t="s">
        <v>596</v>
      </c>
      <c r="J30" s="379">
        <v>40</v>
      </c>
      <c r="K30" s="14" t="s">
        <v>609</v>
      </c>
    </row>
    <row r="31" spans="1:11" x14ac:dyDescent="0.5">
      <c r="A31" t="s">
        <v>65</v>
      </c>
      <c r="B31" t="s">
        <v>16</v>
      </c>
      <c r="C31" t="s">
        <v>579</v>
      </c>
      <c r="D31" t="s">
        <v>625</v>
      </c>
      <c r="E31" t="s">
        <v>610</v>
      </c>
      <c r="F31" t="s">
        <v>606</v>
      </c>
      <c r="G31" t="s">
        <v>596</v>
      </c>
      <c r="H31" t="s">
        <v>617</v>
      </c>
      <c r="I31" t="s">
        <v>585</v>
      </c>
      <c r="J31" s="379">
        <v>40</v>
      </c>
      <c r="K31" s="14" t="s">
        <v>586</v>
      </c>
    </row>
    <row r="32" spans="1:11" x14ac:dyDescent="0.5">
      <c r="A32" t="s">
        <v>65</v>
      </c>
      <c r="B32" t="s">
        <v>18</v>
      </c>
      <c r="C32" t="s">
        <v>594</v>
      </c>
      <c r="D32" t="s">
        <v>625</v>
      </c>
      <c r="E32" t="s">
        <v>626</v>
      </c>
      <c r="F32" t="s">
        <v>583</v>
      </c>
      <c r="G32" t="s">
        <v>581</v>
      </c>
      <c r="H32" t="s">
        <v>626</v>
      </c>
      <c r="I32" t="s">
        <v>584</v>
      </c>
      <c r="J32" s="379">
        <v>40</v>
      </c>
      <c r="K32" s="14" t="s">
        <v>598</v>
      </c>
    </row>
    <row r="33" spans="1:11" x14ac:dyDescent="0.5">
      <c r="A33" t="s">
        <v>65</v>
      </c>
      <c r="B33" t="s">
        <v>17</v>
      </c>
      <c r="C33" t="s">
        <v>599</v>
      </c>
      <c r="D33" t="s">
        <v>627</v>
      </c>
      <c r="E33" t="s">
        <v>580</v>
      </c>
      <c r="F33" t="s">
        <v>591</v>
      </c>
      <c r="G33" t="s">
        <v>605</v>
      </c>
      <c r="H33" t="s">
        <v>615</v>
      </c>
      <c r="I33" t="s">
        <v>583</v>
      </c>
      <c r="J33" s="379">
        <v>40</v>
      </c>
      <c r="K33" s="14" t="s">
        <v>602</v>
      </c>
    </row>
    <row r="34" spans="1:11" x14ac:dyDescent="0.5">
      <c r="A34" t="s">
        <v>65</v>
      </c>
      <c r="B34" t="s">
        <v>14</v>
      </c>
      <c r="C34" t="s">
        <v>604</v>
      </c>
      <c r="D34" t="s">
        <v>625</v>
      </c>
      <c r="E34" t="s">
        <v>617</v>
      </c>
      <c r="F34" t="s">
        <v>597</v>
      </c>
      <c r="G34" t="s">
        <v>582</v>
      </c>
      <c r="H34" t="s">
        <v>615</v>
      </c>
      <c r="I34" t="s">
        <v>592</v>
      </c>
      <c r="J34" s="379">
        <v>40</v>
      </c>
      <c r="K34" s="14" t="s">
        <v>607</v>
      </c>
    </row>
    <row r="35" spans="1:11" x14ac:dyDescent="0.5">
      <c r="A35" t="s">
        <v>65</v>
      </c>
      <c r="B35" t="s">
        <v>15</v>
      </c>
      <c r="C35" t="s">
        <v>604</v>
      </c>
      <c r="D35" t="s">
        <v>625</v>
      </c>
      <c r="E35" t="s">
        <v>617</v>
      </c>
      <c r="F35" t="s">
        <v>597</v>
      </c>
      <c r="G35" t="s">
        <v>582</v>
      </c>
      <c r="H35" t="s">
        <v>615</v>
      </c>
      <c r="I35" t="s">
        <v>592</v>
      </c>
      <c r="J35" s="379">
        <v>40</v>
      </c>
      <c r="K35" s="14" t="s">
        <v>608</v>
      </c>
    </row>
    <row r="36" spans="1:11" x14ac:dyDescent="0.5">
      <c r="A36" t="s">
        <v>65</v>
      </c>
      <c r="B36" t="s">
        <v>19</v>
      </c>
      <c r="C36" t="s">
        <v>599</v>
      </c>
      <c r="D36" t="s">
        <v>627</v>
      </c>
      <c r="E36" t="s">
        <v>580</v>
      </c>
      <c r="F36" t="s">
        <v>591</v>
      </c>
      <c r="G36" t="s">
        <v>605</v>
      </c>
      <c r="H36" t="s">
        <v>615</v>
      </c>
      <c r="I36" t="s">
        <v>583</v>
      </c>
      <c r="J36" s="379">
        <v>40</v>
      </c>
      <c r="K36" s="14" t="s">
        <v>609</v>
      </c>
    </row>
    <row r="37" spans="1:11" x14ac:dyDescent="0.5">
      <c r="A37" t="s">
        <v>574</v>
      </c>
      <c r="B37" t="s">
        <v>566</v>
      </c>
      <c r="C37" t="s">
        <v>587</v>
      </c>
      <c r="D37" t="s">
        <v>588</v>
      </c>
      <c r="E37" t="s">
        <v>622</v>
      </c>
      <c r="F37" t="s">
        <v>590</v>
      </c>
      <c r="G37" t="s">
        <v>591</v>
      </c>
      <c r="H37" t="s">
        <v>591</v>
      </c>
      <c r="I37" t="s">
        <v>600</v>
      </c>
      <c r="J37" s="379">
        <v>45</v>
      </c>
      <c r="K37" s="14" t="s">
        <v>593</v>
      </c>
    </row>
    <row r="38" spans="1:11" x14ac:dyDescent="0.5">
      <c r="A38" t="s">
        <v>574</v>
      </c>
      <c r="B38" t="s">
        <v>18</v>
      </c>
      <c r="C38" t="s">
        <v>594</v>
      </c>
      <c r="D38" t="s">
        <v>580</v>
      </c>
      <c r="E38" t="s">
        <v>624</v>
      </c>
      <c r="F38" t="s">
        <v>596</v>
      </c>
      <c r="G38" t="s">
        <v>597</v>
      </c>
      <c r="H38" t="s">
        <v>591</v>
      </c>
      <c r="I38" t="s">
        <v>617</v>
      </c>
      <c r="J38" s="379">
        <v>40</v>
      </c>
      <c r="K38" s="14" t="s">
        <v>598</v>
      </c>
    </row>
    <row r="39" spans="1:11" x14ac:dyDescent="0.5">
      <c r="A39" t="s">
        <v>574</v>
      </c>
      <c r="B39" t="s">
        <v>17</v>
      </c>
      <c r="C39" t="s">
        <v>599</v>
      </c>
      <c r="D39" t="s">
        <v>600</v>
      </c>
      <c r="E39" t="s">
        <v>625</v>
      </c>
      <c r="F39" t="s">
        <v>595</v>
      </c>
      <c r="G39" t="s">
        <v>584</v>
      </c>
      <c r="H39" t="s">
        <v>601</v>
      </c>
      <c r="I39" t="s">
        <v>618</v>
      </c>
      <c r="J39" s="379">
        <v>40</v>
      </c>
      <c r="K39" s="14" t="s">
        <v>602</v>
      </c>
    </row>
    <row r="40" spans="1:11" x14ac:dyDescent="0.5">
      <c r="A40" t="s">
        <v>574</v>
      </c>
      <c r="B40" t="s">
        <v>542</v>
      </c>
      <c r="C40" t="s">
        <v>587</v>
      </c>
      <c r="D40" t="s">
        <v>588</v>
      </c>
      <c r="E40" t="s">
        <v>622</v>
      </c>
      <c r="F40" t="s">
        <v>590</v>
      </c>
      <c r="G40" t="s">
        <v>591</v>
      </c>
      <c r="H40" t="s">
        <v>591</v>
      </c>
      <c r="I40" t="s">
        <v>600</v>
      </c>
      <c r="J40" s="379">
        <v>45</v>
      </c>
      <c r="K40" s="14" t="s">
        <v>593</v>
      </c>
    </row>
    <row r="41" spans="1:11" x14ac:dyDescent="0.5">
      <c r="A41" t="s">
        <v>574</v>
      </c>
      <c r="B41" t="s">
        <v>13</v>
      </c>
      <c r="C41" t="s">
        <v>594</v>
      </c>
      <c r="D41" t="s">
        <v>580</v>
      </c>
      <c r="E41" t="s">
        <v>624</v>
      </c>
      <c r="F41" t="s">
        <v>596</v>
      </c>
      <c r="G41" t="s">
        <v>597</v>
      </c>
      <c r="H41" t="s">
        <v>591</v>
      </c>
      <c r="I41" t="s">
        <v>617</v>
      </c>
      <c r="J41" s="379">
        <v>40</v>
      </c>
      <c r="K41" s="14" t="s">
        <v>603</v>
      </c>
    </row>
    <row r="42" spans="1:11" x14ac:dyDescent="0.5">
      <c r="A42" t="s">
        <v>574</v>
      </c>
      <c r="B42" t="s">
        <v>19</v>
      </c>
      <c r="C42" t="s">
        <v>599</v>
      </c>
      <c r="D42" t="s">
        <v>600</v>
      </c>
      <c r="E42" t="s">
        <v>625</v>
      </c>
      <c r="F42" t="s">
        <v>595</v>
      </c>
      <c r="G42" t="s">
        <v>584</v>
      </c>
      <c r="H42" t="s">
        <v>601</v>
      </c>
      <c r="I42" t="s">
        <v>618</v>
      </c>
      <c r="J42" s="379">
        <v>40</v>
      </c>
      <c r="K42" s="14" t="s">
        <v>609</v>
      </c>
    </row>
    <row r="43" spans="1:11" x14ac:dyDescent="0.5">
      <c r="A43" t="s">
        <v>565</v>
      </c>
      <c r="B43" t="s">
        <v>542</v>
      </c>
      <c r="C43" t="s">
        <v>587</v>
      </c>
      <c r="D43" t="s">
        <v>628</v>
      </c>
      <c r="E43" t="s">
        <v>601</v>
      </c>
      <c r="F43" t="s">
        <v>623</v>
      </c>
      <c r="G43" t="s">
        <v>629</v>
      </c>
      <c r="H43" t="s">
        <v>624</v>
      </c>
      <c r="I43" t="s">
        <v>592</v>
      </c>
      <c r="J43" s="379">
        <v>45</v>
      </c>
      <c r="K43" s="14" t="s">
        <v>593</v>
      </c>
    </row>
    <row r="44" spans="1:11" x14ac:dyDescent="0.5">
      <c r="A44" t="s">
        <v>565</v>
      </c>
      <c r="B44" t="s">
        <v>566</v>
      </c>
      <c r="C44" t="s">
        <v>587</v>
      </c>
      <c r="D44" t="s">
        <v>628</v>
      </c>
      <c r="E44" t="s">
        <v>601</v>
      </c>
      <c r="F44" t="s">
        <v>623</v>
      </c>
      <c r="G44" t="s">
        <v>629</v>
      </c>
      <c r="H44" t="s">
        <v>624</v>
      </c>
      <c r="I44" t="s">
        <v>592</v>
      </c>
      <c r="J44" s="379">
        <v>45</v>
      </c>
      <c r="K44" s="14" t="s">
        <v>593</v>
      </c>
    </row>
    <row r="45" spans="1:11" x14ac:dyDescent="0.5">
      <c r="A45" t="s">
        <v>565</v>
      </c>
      <c r="B45" t="s">
        <v>18</v>
      </c>
      <c r="C45" t="s">
        <v>594</v>
      </c>
      <c r="D45" t="s">
        <v>619</v>
      </c>
      <c r="E45" t="s">
        <v>591</v>
      </c>
      <c r="F45" t="s">
        <v>618</v>
      </c>
      <c r="G45" t="s">
        <v>580</v>
      </c>
      <c r="H45" t="s">
        <v>624</v>
      </c>
      <c r="I45" t="s">
        <v>584</v>
      </c>
      <c r="J45" s="379">
        <v>40</v>
      </c>
      <c r="K45" s="14" t="s">
        <v>598</v>
      </c>
    </row>
    <row r="46" spans="1:11" x14ac:dyDescent="0.5">
      <c r="A46" t="s">
        <v>66</v>
      </c>
      <c r="B46" t="s">
        <v>16</v>
      </c>
      <c r="C46" t="s">
        <v>579</v>
      </c>
      <c r="D46" t="s">
        <v>625</v>
      </c>
      <c r="E46" t="s">
        <v>613</v>
      </c>
      <c r="F46" t="s">
        <v>606</v>
      </c>
      <c r="G46" t="s">
        <v>583</v>
      </c>
      <c r="H46" t="s">
        <v>620</v>
      </c>
      <c r="I46" t="s">
        <v>630</v>
      </c>
      <c r="J46" s="379">
        <v>40</v>
      </c>
      <c r="K46" s="14" t="s">
        <v>586</v>
      </c>
    </row>
    <row r="47" spans="1:11" x14ac:dyDescent="0.5">
      <c r="A47" t="s">
        <v>66</v>
      </c>
      <c r="B47" t="s">
        <v>17</v>
      </c>
      <c r="C47" t="s">
        <v>599</v>
      </c>
      <c r="D47" t="s">
        <v>627</v>
      </c>
      <c r="E47" t="s">
        <v>619</v>
      </c>
      <c r="F47" t="s">
        <v>591</v>
      </c>
      <c r="G47" t="s">
        <v>584</v>
      </c>
      <c r="H47" t="s">
        <v>631</v>
      </c>
      <c r="I47" t="s">
        <v>632</v>
      </c>
      <c r="J47" s="379">
        <v>40</v>
      </c>
      <c r="K47" s="14" t="s">
        <v>602</v>
      </c>
    </row>
    <row r="48" spans="1:11" x14ac:dyDescent="0.5">
      <c r="A48" t="s">
        <v>66</v>
      </c>
      <c r="B48" t="s">
        <v>14</v>
      </c>
      <c r="C48" t="s">
        <v>604</v>
      </c>
      <c r="D48" t="s">
        <v>625</v>
      </c>
      <c r="E48" t="s">
        <v>620</v>
      </c>
      <c r="F48" t="s">
        <v>597</v>
      </c>
      <c r="G48" t="s">
        <v>606</v>
      </c>
      <c r="H48" t="s">
        <v>631</v>
      </c>
      <c r="I48" t="s">
        <v>627</v>
      </c>
      <c r="J48" s="379">
        <v>40</v>
      </c>
      <c r="K48" s="14" t="s">
        <v>607</v>
      </c>
    </row>
    <row r="49" spans="1:11" x14ac:dyDescent="0.5">
      <c r="A49" t="s">
        <v>66</v>
      </c>
      <c r="B49" t="s">
        <v>15</v>
      </c>
      <c r="C49" t="s">
        <v>604</v>
      </c>
      <c r="D49" t="s">
        <v>625</v>
      </c>
      <c r="E49" t="s">
        <v>620</v>
      </c>
      <c r="F49" t="s">
        <v>597</v>
      </c>
      <c r="G49" t="s">
        <v>606</v>
      </c>
      <c r="H49" t="s">
        <v>631</v>
      </c>
      <c r="I49" t="s">
        <v>627</v>
      </c>
      <c r="J49" s="379">
        <v>40</v>
      </c>
      <c r="K49" s="14" t="s">
        <v>608</v>
      </c>
    </row>
    <row r="50" spans="1:11" x14ac:dyDescent="0.5">
      <c r="A50" t="s">
        <v>66</v>
      </c>
      <c r="B50" t="s">
        <v>19</v>
      </c>
      <c r="C50" t="s">
        <v>599</v>
      </c>
      <c r="D50" t="s">
        <v>627</v>
      </c>
      <c r="E50" t="s">
        <v>619</v>
      </c>
      <c r="F50" t="s">
        <v>591</v>
      </c>
      <c r="G50" t="s">
        <v>584</v>
      </c>
      <c r="H50" t="s">
        <v>631</v>
      </c>
      <c r="I50" t="s">
        <v>632</v>
      </c>
      <c r="J50" s="379">
        <v>40</v>
      </c>
      <c r="K50" s="14" t="s">
        <v>609</v>
      </c>
    </row>
  </sheetData>
  <mergeCells count="2">
    <mergeCell ref="A1:K1"/>
    <mergeCell ref="A2:K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72094-F766-9E4F-BCCF-C3F85664856B}">
  <sheetPr codeName="Sheet3"/>
  <dimension ref="A1:L101"/>
  <sheetViews>
    <sheetView zoomScaleNormal="80" zoomScaleSheetLayoutView="100" workbookViewId="0">
      <selection sqref="A1:C1"/>
    </sheetView>
  </sheetViews>
  <sheetFormatPr defaultRowHeight="14.1" x14ac:dyDescent="0.5"/>
  <cols>
    <col min="1" max="1" width="8.77734375" customWidth="1"/>
    <col min="2" max="2" width="8.77734375" style="224" customWidth="1"/>
    <col min="3" max="3" width="9.44140625" style="1" customWidth="1"/>
  </cols>
  <sheetData>
    <row r="1" spans="1:12" ht="15.3" thickBot="1" x14ac:dyDescent="0.55000000000000004">
      <c r="A1" s="370" t="s">
        <v>564</v>
      </c>
      <c r="B1" s="371"/>
      <c r="C1" s="372"/>
      <c r="K1" t="s">
        <v>505</v>
      </c>
      <c r="L1" t="s">
        <v>506</v>
      </c>
    </row>
    <row r="2" spans="1:12" ht="14.4" thickBot="1" x14ac:dyDescent="0.55000000000000004">
      <c r="A2" s="294" t="s">
        <v>156</v>
      </c>
      <c r="B2" s="295" t="s">
        <v>84</v>
      </c>
      <c r="C2" s="285" t="s">
        <v>484</v>
      </c>
      <c r="D2" s="290"/>
      <c r="J2">
        <v>1</v>
      </c>
      <c r="K2">
        <f>Bonus1</f>
        <v>-5</v>
      </c>
      <c r="L2">
        <f>SkillPoints0</f>
        <v>0</v>
      </c>
    </row>
    <row r="3" spans="1:12" x14ac:dyDescent="0.5">
      <c r="A3" s="291">
        <v>1</v>
      </c>
      <c r="B3" s="296">
        <v>-5</v>
      </c>
      <c r="C3" s="286">
        <v>0</v>
      </c>
      <c r="D3" s="290"/>
      <c r="J3">
        <v>2</v>
      </c>
      <c r="K3">
        <f t="shared" ref="K3:K11" si="0">Bonus2</f>
        <v>-3</v>
      </c>
      <c r="L3">
        <f t="shared" ref="L3:L11" si="1">SkillPoints1</f>
        <v>0</v>
      </c>
    </row>
    <row r="4" spans="1:12" x14ac:dyDescent="0.5">
      <c r="A4" s="292" t="s">
        <v>256</v>
      </c>
      <c r="B4" s="287">
        <v>-3</v>
      </c>
      <c r="C4" s="287">
        <v>0</v>
      </c>
      <c r="J4">
        <v>3</v>
      </c>
      <c r="K4">
        <f t="shared" si="0"/>
        <v>-3</v>
      </c>
      <c r="L4">
        <f t="shared" si="1"/>
        <v>0</v>
      </c>
    </row>
    <row r="5" spans="1:12" x14ac:dyDescent="0.5">
      <c r="A5" s="292" t="s">
        <v>255</v>
      </c>
      <c r="B5" s="297">
        <v>-1</v>
      </c>
      <c r="C5" s="288">
        <v>0</v>
      </c>
      <c r="J5">
        <v>4</v>
      </c>
      <c r="K5">
        <f t="shared" si="0"/>
        <v>-3</v>
      </c>
      <c r="L5">
        <f t="shared" si="1"/>
        <v>0</v>
      </c>
    </row>
    <row r="6" spans="1:12" x14ac:dyDescent="0.5">
      <c r="A6" s="292" t="s">
        <v>345</v>
      </c>
      <c r="B6" s="287">
        <v>0</v>
      </c>
      <c r="C6" s="287">
        <v>0</v>
      </c>
      <c r="J6">
        <v>5</v>
      </c>
      <c r="K6">
        <f t="shared" si="0"/>
        <v>-3</v>
      </c>
      <c r="L6">
        <f t="shared" si="1"/>
        <v>0</v>
      </c>
    </row>
    <row r="7" spans="1:12" x14ac:dyDescent="0.5">
      <c r="A7" s="292" t="s">
        <v>485</v>
      </c>
      <c r="B7" s="297">
        <v>1</v>
      </c>
      <c r="C7" s="288">
        <v>1</v>
      </c>
      <c r="J7">
        <v>6</v>
      </c>
      <c r="K7">
        <f t="shared" si="0"/>
        <v>-3</v>
      </c>
      <c r="L7">
        <f t="shared" si="1"/>
        <v>0</v>
      </c>
    </row>
    <row r="8" spans="1:12" x14ac:dyDescent="0.5">
      <c r="A8" s="292" t="s">
        <v>503</v>
      </c>
      <c r="B8" s="287">
        <v>2</v>
      </c>
      <c r="C8" s="287">
        <v>2</v>
      </c>
      <c r="J8">
        <v>7</v>
      </c>
      <c r="K8">
        <f t="shared" si="0"/>
        <v>-3</v>
      </c>
      <c r="L8">
        <f t="shared" si="1"/>
        <v>0</v>
      </c>
    </row>
    <row r="9" spans="1:12" x14ac:dyDescent="0.5">
      <c r="A9" s="292" t="s">
        <v>504</v>
      </c>
      <c r="B9" s="297">
        <v>3</v>
      </c>
      <c r="C9" s="288">
        <v>3</v>
      </c>
      <c r="J9">
        <v>8</v>
      </c>
      <c r="K9">
        <f t="shared" si="0"/>
        <v>-3</v>
      </c>
      <c r="L9">
        <f t="shared" si="1"/>
        <v>0</v>
      </c>
    </row>
    <row r="10" spans="1:12" x14ac:dyDescent="0.5">
      <c r="A10" s="292" t="s">
        <v>486</v>
      </c>
      <c r="B10" s="287">
        <v>4</v>
      </c>
      <c r="C10" s="287">
        <v>4</v>
      </c>
      <c r="J10">
        <v>9</v>
      </c>
      <c r="K10">
        <f t="shared" si="0"/>
        <v>-3</v>
      </c>
      <c r="L10">
        <f t="shared" si="1"/>
        <v>0</v>
      </c>
    </row>
    <row r="11" spans="1:12" x14ac:dyDescent="0.5">
      <c r="A11" s="292">
        <v>99</v>
      </c>
      <c r="B11" s="297">
        <v>7</v>
      </c>
      <c r="C11" s="288">
        <v>5</v>
      </c>
      <c r="J11">
        <v>10</v>
      </c>
      <c r="K11">
        <f t="shared" si="0"/>
        <v>-3</v>
      </c>
      <c r="L11">
        <f t="shared" si="1"/>
        <v>0</v>
      </c>
    </row>
    <row r="12" spans="1:12" ht="14.4" thickBot="1" x14ac:dyDescent="0.55000000000000004">
      <c r="A12" s="293">
        <v>100</v>
      </c>
      <c r="B12" s="289">
        <v>10</v>
      </c>
      <c r="C12" s="289">
        <v>7</v>
      </c>
      <c r="J12">
        <v>11</v>
      </c>
      <c r="K12">
        <f t="shared" ref="K12:K25" si="2">Bonus3</f>
        <v>-1</v>
      </c>
      <c r="L12">
        <f t="shared" ref="L12:L25" si="3">SkillPoints2</f>
        <v>0</v>
      </c>
    </row>
    <row r="13" spans="1:12" x14ac:dyDescent="0.5">
      <c r="J13">
        <v>12</v>
      </c>
      <c r="K13">
        <f t="shared" si="2"/>
        <v>-1</v>
      </c>
      <c r="L13">
        <f t="shared" si="3"/>
        <v>0</v>
      </c>
    </row>
    <row r="14" spans="1:12" x14ac:dyDescent="0.5">
      <c r="J14">
        <v>13</v>
      </c>
      <c r="K14">
        <f t="shared" si="2"/>
        <v>-1</v>
      </c>
      <c r="L14">
        <f t="shared" si="3"/>
        <v>0</v>
      </c>
    </row>
    <row r="15" spans="1:12" x14ac:dyDescent="0.5">
      <c r="J15">
        <v>14</v>
      </c>
      <c r="K15">
        <f t="shared" si="2"/>
        <v>-1</v>
      </c>
      <c r="L15">
        <f t="shared" si="3"/>
        <v>0</v>
      </c>
    </row>
    <row r="16" spans="1:12" x14ac:dyDescent="0.5">
      <c r="J16">
        <v>15</v>
      </c>
      <c r="K16">
        <f t="shared" si="2"/>
        <v>-1</v>
      </c>
      <c r="L16">
        <f t="shared" si="3"/>
        <v>0</v>
      </c>
    </row>
    <row r="17" spans="10:12" x14ac:dyDescent="0.5">
      <c r="J17">
        <v>16</v>
      </c>
      <c r="K17">
        <f t="shared" si="2"/>
        <v>-1</v>
      </c>
      <c r="L17">
        <f t="shared" si="3"/>
        <v>0</v>
      </c>
    </row>
    <row r="18" spans="10:12" x14ac:dyDescent="0.5">
      <c r="J18">
        <v>17</v>
      </c>
      <c r="K18">
        <f t="shared" si="2"/>
        <v>-1</v>
      </c>
      <c r="L18">
        <f t="shared" si="3"/>
        <v>0</v>
      </c>
    </row>
    <row r="19" spans="10:12" x14ac:dyDescent="0.5">
      <c r="J19">
        <v>18</v>
      </c>
      <c r="K19">
        <f t="shared" si="2"/>
        <v>-1</v>
      </c>
      <c r="L19">
        <f t="shared" si="3"/>
        <v>0</v>
      </c>
    </row>
    <row r="20" spans="10:12" x14ac:dyDescent="0.5">
      <c r="J20">
        <v>19</v>
      </c>
      <c r="K20">
        <f t="shared" si="2"/>
        <v>-1</v>
      </c>
      <c r="L20">
        <f t="shared" si="3"/>
        <v>0</v>
      </c>
    </row>
    <row r="21" spans="10:12" x14ac:dyDescent="0.5">
      <c r="J21">
        <v>20</v>
      </c>
      <c r="K21">
        <f t="shared" si="2"/>
        <v>-1</v>
      </c>
      <c r="L21">
        <f t="shared" si="3"/>
        <v>0</v>
      </c>
    </row>
    <row r="22" spans="10:12" x14ac:dyDescent="0.5">
      <c r="J22">
        <v>21</v>
      </c>
      <c r="K22">
        <f t="shared" si="2"/>
        <v>-1</v>
      </c>
      <c r="L22">
        <f t="shared" si="3"/>
        <v>0</v>
      </c>
    </row>
    <row r="23" spans="10:12" x14ac:dyDescent="0.5">
      <c r="J23">
        <v>22</v>
      </c>
      <c r="K23">
        <f t="shared" si="2"/>
        <v>-1</v>
      </c>
      <c r="L23">
        <f t="shared" si="3"/>
        <v>0</v>
      </c>
    </row>
    <row r="24" spans="10:12" x14ac:dyDescent="0.5">
      <c r="J24">
        <v>23</v>
      </c>
      <c r="K24">
        <f t="shared" si="2"/>
        <v>-1</v>
      </c>
      <c r="L24">
        <f t="shared" si="3"/>
        <v>0</v>
      </c>
    </row>
    <row r="25" spans="10:12" x14ac:dyDescent="0.5">
      <c r="J25">
        <v>24</v>
      </c>
      <c r="K25">
        <f t="shared" si="2"/>
        <v>-1</v>
      </c>
      <c r="L25">
        <f t="shared" si="3"/>
        <v>0</v>
      </c>
    </row>
    <row r="26" spans="10:12" x14ac:dyDescent="0.5">
      <c r="J26">
        <v>25</v>
      </c>
      <c r="K26">
        <f t="shared" ref="K26:K50" si="4">Bonus4</f>
        <v>0</v>
      </c>
      <c r="L26">
        <f t="shared" ref="L26:L50" si="5">SkillPoints3</f>
        <v>0</v>
      </c>
    </row>
    <row r="27" spans="10:12" x14ac:dyDescent="0.5">
      <c r="J27">
        <v>26</v>
      </c>
      <c r="K27">
        <f t="shared" si="4"/>
        <v>0</v>
      </c>
      <c r="L27">
        <f t="shared" si="5"/>
        <v>0</v>
      </c>
    </row>
    <row r="28" spans="10:12" x14ac:dyDescent="0.5">
      <c r="J28">
        <v>27</v>
      </c>
      <c r="K28">
        <f t="shared" si="4"/>
        <v>0</v>
      </c>
      <c r="L28">
        <f t="shared" si="5"/>
        <v>0</v>
      </c>
    </row>
    <row r="29" spans="10:12" x14ac:dyDescent="0.5">
      <c r="J29">
        <v>28</v>
      </c>
      <c r="K29">
        <f t="shared" si="4"/>
        <v>0</v>
      </c>
      <c r="L29">
        <f t="shared" si="5"/>
        <v>0</v>
      </c>
    </row>
    <row r="30" spans="10:12" x14ac:dyDescent="0.5">
      <c r="J30">
        <v>29</v>
      </c>
      <c r="K30">
        <f t="shared" si="4"/>
        <v>0</v>
      </c>
      <c r="L30">
        <f t="shared" si="5"/>
        <v>0</v>
      </c>
    </row>
    <row r="31" spans="10:12" x14ac:dyDescent="0.5">
      <c r="J31">
        <v>30</v>
      </c>
      <c r="K31">
        <f t="shared" si="4"/>
        <v>0</v>
      </c>
      <c r="L31">
        <f t="shared" si="5"/>
        <v>0</v>
      </c>
    </row>
    <row r="32" spans="10:12" x14ac:dyDescent="0.5">
      <c r="J32">
        <v>31</v>
      </c>
      <c r="K32">
        <f t="shared" si="4"/>
        <v>0</v>
      </c>
      <c r="L32">
        <f t="shared" si="5"/>
        <v>0</v>
      </c>
    </row>
    <row r="33" spans="10:12" x14ac:dyDescent="0.5">
      <c r="J33">
        <v>32</v>
      </c>
      <c r="K33">
        <f t="shared" si="4"/>
        <v>0</v>
      </c>
      <c r="L33">
        <f t="shared" si="5"/>
        <v>0</v>
      </c>
    </row>
    <row r="34" spans="10:12" x14ac:dyDescent="0.5">
      <c r="J34">
        <v>33</v>
      </c>
      <c r="K34">
        <f t="shared" si="4"/>
        <v>0</v>
      </c>
      <c r="L34">
        <f t="shared" si="5"/>
        <v>0</v>
      </c>
    </row>
    <row r="35" spans="10:12" x14ac:dyDescent="0.5">
      <c r="J35">
        <v>34</v>
      </c>
      <c r="K35">
        <f t="shared" si="4"/>
        <v>0</v>
      </c>
      <c r="L35">
        <f t="shared" si="5"/>
        <v>0</v>
      </c>
    </row>
    <row r="36" spans="10:12" x14ac:dyDescent="0.5">
      <c r="J36">
        <v>35</v>
      </c>
      <c r="K36">
        <f t="shared" si="4"/>
        <v>0</v>
      </c>
      <c r="L36">
        <f t="shared" si="5"/>
        <v>0</v>
      </c>
    </row>
    <row r="37" spans="10:12" x14ac:dyDescent="0.5">
      <c r="J37">
        <v>36</v>
      </c>
      <c r="K37">
        <f t="shared" si="4"/>
        <v>0</v>
      </c>
      <c r="L37">
        <f t="shared" si="5"/>
        <v>0</v>
      </c>
    </row>
    <row r="38" spans="10:12" x14ac:dyDescent="0.5">
      <c r="J38">
        <v>37</v>
      </c>
      <c r="K38">
        <f t="shared" si="4"/>
        <v>0</v>
      </c>
      <c r="L38">
        <f t="shared" si="5"/>
        <v>0</v>
      </c>
    </row>
    <row r="39" spans="10:12" x14ac:dyDescent="0.5">
      <c r="J39">
        <v>38</v>
      </c>
      <c r="K39">
        <f t="shared" si="4"/>
        <v>0</v>
      </c>
      <c r="L39">
        <f t="shared" si="5"/>
        <v>0</v>
      </c>
    </row>
    <row r="40" spans="10:12" x14ac:dyDescent="0.5">
      <c r="J40">
        <v>39</v>
      </c>
      <c r="K40">
        <f t="shared" si="4"/>
        <v>0</v>
      </c>
      <c r="L40">
        <f t="shared" si="5"/>
        <v>0</v>
      </c>
    </row>
    <row r="41" spans="10:12" x14ac:dyDescent="0.5">
      <c r="J41">
        <v>40</v>
      </c>
      <c r="K41">
        <f t="shared" si="4"/>
        <v>0</v>
      </c>
      <c r="L41">
        <f t="shared" si="5"/>
        <v>0</v>
      </c>
    </row>
    <row r="42" spans="10:12" x14ac:dyDescent="0.5">
      <c r="J42">
        <v>41</v>
      </c>
      <c r="K42">
        <f t="shared" si="4"/>
        <v>0</v>
      </c>
      <c r="L42">
        <f t="shared" si="5"/>
        <v>0</v>
      </c>
    </row>
    <row r="43" spans="10:12" x14ac:dyDescent="0.5">
      <c r="J43">
        <v>42</v>
      </c>
      <c r="K43">
        <f t="shared" si="4"/>
        <v>0</v>
      </c>
      <c r="L43">
        <f t="shared" si="5"/>
        <v>0</v>
      </c>
    </row>
    <row r="44" spans="10:12" x14ac:dyDescent="0.5">
      <c r="J44">
        <v>43</v>
      </c>
      <c r="K44">
        <f t="shared" si="4"/>
        <v>0</v>
      </c>
      <c r="L44">
        <f t="shared" si="5"/>
        <v>0</v>
      </c>
    </row>
    <row r="45" spans="10:12" x14ac:dyDescent="0.5">
      <c r="J45">
        <v>44</v>
      </c>
      <c r="K45">
        <f t="shared" si="4"/>
        <v>0</v>
      </c>
      <c r="L45">
        <f t="shared" si="5"/>
        <v>0</v>
      </c>
    </row>
    <row r="46" spans="10:12" x14ac:dyDescent="0.5">
      <c r="J46">
        <v>45</v>
      </c>
      <c r="K46">
        <f t="shared" si="4"/>
        <v>0</v>
      </c>
      <c r="L46">
        <f t="shared" si="5"/>
        <v>0</v>
      </c>
    </row>
    <row r="47" spans="10:12" x14ac:dyDescent="0.5">
      <c r="J47">
        <v>46</v>
      </c>
      <c r="K47">
        <f t="shared" si="4"/>
        <v>0</v>
      </c>
      <c r="L47">
        <f t="shared" si="5"/>
        <v>0</v>
      </c>
    </row>
    <row r="48" spans="10:12" x14ac:dyDescent="0.5">
      <c r="J48">
        <v>47</v>
      </c>
      <c r="K48">
        <f t="shared" si="4"/>
        <v>0</v>
      </c>
      <c r="L48">
        <f t="shared" si="5"/>
        <v>0</v>
      </c>
    </row>
    <row r="49" spans="10:12" x14ac:dyDescent="0.5">
      <c r="J49">
        <v>48</v>
      </c>
      <c r="K49">
        <f t="shared" si="4"/>
        <v>0</v>
      </c>
      <c r="L49">
        <f t="shared" si="5"/>
        <v>0</v>
      </c>
    </row>
    <row r="50" spans="10:12" x14ac:dyDescent="0.5">
      <c r="J50">
        <v>49</v>
      </c>
      <c r="K50">
        <f t="shared" si="4"/>
        <v>0</v>
      </c>
      <c r="L50">
        <f t="shared" si="5"/>
        <v>0</v>
      </c>
    </row>
    <row r="51" spans="10:12" x14ac:dyDescent="0.5">
      <c r="J51">
        <v>50</v>
      </c>
      <c r="K51">
        <f t="shared" ref="K51:K76" si="6">Bonus5</f>
        <v>1</v>
      </c>
      <c r="L51">
        <f t="shared" ref="L51:L76" si="7">SkillPoints4</f>
        <v>1</v>
      </c>
    </row>
    <row r="52" spans="10:12" x14ac:dyDescent="0.5">
      <c r="J52">
        <v>51</v>
      </c>
      <c r="K52">
        <f t="shared" si="6"/>
        <v>1</v>
      </c>
      <c r="L52">
        <f t="shared" si="7"/>
        <v>1</v>
      </c>
    </row>
    <row r="53" spans="10:12" x14ac:dyDescent="0.5">
      <c r="J53">
        <v>52</v>
      </c>
      <c r="K53">
        <f t="shared" si="6"/>
        <v>1</v>
      </c>
      <c r="L53">
        <f t="shared" si="7"/>
        <v>1</v>
      </c>
    </row>
    <row r="54" spans="10:12" x14ac:dyDescent="0.5">
      <c r="J54">
        <v>53</v>
      </c>
      <c r="K54">
        <f t="shared" si="6"/>
        <v>1</v>
      </c>
      <c r="L54">
        <f t="shared" si="7"/>
        <v>1</v>
      </c>
    </row>
    <row r="55" spans="10:12" x14ac:dyDescent="0.5">
      <c r="J55">
        <v>54</v>
      </c>
      <c r="K55">
        <f t="shared" si="6"/>
        <v>1</v>
      </c>
      <c r="L55">
        <f t="shared" si="7"/>
        <v>1</v>
      </c>
    </row>
    <row r="56" spans="10:12" x14ac:dyDescent="0.5">
      <c r="J56">
        <v>55</v>
      </c>
      <c r="K56">
        <f t="shared" si="6"/>
        <v>1</v>
      </c>
      <c r="L56">
        <f t="shared" si="7"/>
        <v>1</v>
      </c>
    </row>
    <row r="57" spans="10:12" x14ac:dyDescent="0.5">
      <c r="J57">
        <v>56</v>
      </c>
      <c r="K57">
        <f t="shared" si="6"/>
        <v>1</v>
      </c>
      <c r="L57">
        <f t="shared" si="7"/>
        <v>1</v>
      </c>
    </row>
    <row r="58" spans="10:12" x14ac:dyDescent="0.5">
      <c r="J58">
        <v>57</v>
      </c>
      <c r="K58">
        <f t="shared" si="6"/>
        <v>1</v>
      </c>
      <c r="L58">
        <f t="shared" si="7"/>
        <v>1</v>
      </c>
    </row>
    <row r="59" spans="10:12" x14ac:dyDescent="0.5">
      <c r="J59">
        <v>58</v>
      </c>
      <c r="K59">
        <f t="shared" si="6"/>
        <v>1</v>
      </c>
      <c r="L59">
        <f t="shared" si="7"/>
        <v>1</v>
      </c>
    </row>
    <row r="60" spans="10:12" x14ac:dyDescent="0.5">
      <c r="J60">
        <v>59</v>
      </c>
      <c r="K60">
        <f t="shared" si="6"/>
        <v>1</v>
      </c>
      <c r="L60">
        <f t="shared" si="7"/>
        <v>1</v>
      </c>
    </row>
    <row r="61" spans="10:12" x14ac:dyDescent="0.5">
      <c r="J61">
        <v>60</v>
      </c>
      <c r="K61">
        <f t="shared" si="6"/>
        <v>1</v>
      </c>
      <c r="L61">
        <f t="shared" si="7"/>
        <v>1</v>
      </c>
    </row>
    <row r="62" spans="10:12" x14ac:dyDescent="0.5">
      <c r="J62">
        <v>61</v>
      </c>
      <c r="K62">
        <f t="shared" si="6"/>
        <v>1</v>
      </c>
      <c r="L62">
        <f t="shared" si="7"/>
        <v>1</v>
      </c>
    </row>
    <row r="63" spans="10:12" x14ac:dyDescent="0.5">
      <c r="J63">
        <v>62</v>
      </c>
      <c r="K63">
        <f t="shared" si="6"/>
        <v>1</v>
      </c>
      <c r="L63">
        <f t="shared" si="7"/>
        <v>1</v>
      </c>
    </row>
    <row r="64" spans="10:12" x14ac:dyDescent="0.5">
      <c r="J64">
        <v>63</v>
      </c>
      <c r="K64">
        <f t="shared" si="6"/>
        <v>1</v>
      </c>
      <c r="L64">
        <f t="shared" si="7"/>
        <v>1</v>
      </c>
    </row>
    <row r="65" spans="10:12" x14ac:dyDescent="0.5">
      <c r="J65">
        <v>64</v>
      </c>
      <c r="K65">
        <f t="shared" si="6"/>
        <v>1</v>
      </c>
      <c r="L65">
        <f t="shared" si="7"/>
        <v>1</v>
      </c>
    </row>
    <row r="66" spans="10:12" x14ac:dyDescent="0.5">
      <c r="J66">
        <v>65</v>
      </c>
      <c r="K66">
        <f t="shared" si="6"/>
        <v>1</v>
      </c>
      <c r="L66">
        <f t="shared" si="7"/>
        <v>1</v>
      </c>
    </row>
    <row r="67" spans="10:12" x14ac:dyDescent="0.5">
      <c r="J67">
        <v>66</v>
      </c>
      <c r="K67">
        <f t="shared" si="6"/>
        <v>1</v>
      </c>
      <c r="L67">
        <f t="shared" si="7"/>
        <v>1</v>
      </c>
    </row>
    <row r="68" spans="10:12" x14ac:dyDescent="0.5">
      <c r="J68">
        <v>67</v>
      </c>
      <c r="K68">
        <f t="shared" si="6"/>
        <v>1</v>
      </c>
      <c r="L68">
        <f t="shared" si="7"/>
        <v>1</v>
      </c>
    </row>
    <row r="69" spans="10:12" x14ac:dyDescent="0.5">
      <c r="J69">
        <v>68</v>
      </c>
      <c r="K69">
        <f t="shared" si="6"/>
        <v>1</v>
      </c>
      <c r="L69">
        <f t="shared" si="7"/>
        <v>1</v>
      </c>
    </row>
    <row r="70" spans="10:12" x14ac:dyDescent="0.5">
      <c r="J70">
        <v>69</v>
      </c>
      <c r="K70">
        <f t="shared" si="6"/>
        <v>1</v>
      </c>
      <c r="L70">
        <f t="shared" si="7"/>
        <v>1</v>
      </c>
    </row>
    <row r="71" spans="10:12" x14ac:dyDescent="0.5">
      <c r="J71">
        <v>70</v>
      </c>
      <c r="K71">
        <f t="shared" si="6"/>
        <v>1</v>
      </c>
      <c r="L71">
        <f t="shared" si="7"/>
        <v>1</v>
      </c>
    </row>
    <row r="72" spans="10:12" x14ac:dyDescent="0.5">
      <c r="J72">
        <v>71</v>
      </c>
      <c r="K72">
        <f t="shared" si="6"/>
        <v>1</v>
      </c>
      <c r="L72">
        <f t="shared" si="7"/>
        <v>1</v>
      </c>
    </row>
    <row r="73" spans="10:12" x14ac:dyDescent="0.5">
      <c r="J73">
        <v>72</v>
      </c>
      <c r="K73">
        <f t="shared" si="6"/>
        <v>1</v>
      </c>
      <c r="L73">
        <f t="shared" si="7"/>
        <v>1</v>
      </c>
    </row>
    <row r="74" spans="10:12" x14ac:dyDescent="0.5">
      <c r="J74">
        <v>73</v>
      </c>
      <c r="K74">
        <f t="shared" si="6"/>
        <v>1</v>
      </c>
      <c r="L74">
        <f t="shared" si="7"/>
        <v>1</v>
      </c>
    </row>
    <row r="75" spans="10:12" x14ac:dyDescent="0.5">
      <c r="J75">
        <v>74</v>
      </c>
      <c r="K75">
        <f t="shared" si="6"/>
        <v>1</v>
      </c>
      <c r="L75">
        <f t="shared" si="7"/>
        <v>1</v>
      </c>
    </row>
    <row r="76" spans="10:12" x14ac:dyDescent="0.5">
      <c r="J76">
        <v>75</v>
      </c>
      <c r="K76">
        <f t="shared" si="6"/>
        <v>1</v>
      </c>
      <c r="L76">
        <f t="shared" si="7"/>
        <v>1</v>
      </c>
    </row>
    <row r="77" spans="10:12" x14ac:dyDescent="0.5">
      <c r="J77">
        <v>76</v>
      </c>
      <c r="K77">
        <f t="shared" ref="K77:K90" si="8">Bonus6</f>
        <v>2</v>
      </c>
      <c r="L77">
        <f t="shared" ref="L77:L90" si="9">SkillPoints5</f>
        <v>2</v>
      </c>
    </row>
    <row r="78" spans="10:12" x14ac:dyDescent="0.5">
      <c r="J78">
        <v>77</v>
      </c>
      <c r="K78">
        <f t="shared" si="8"/>
        <v>2</v>
      </c>
      <c r="L78">
        <f t="shared" si="9"/>
        <v>2</v>
      </c>
    </row>
    <row r="79" spans="10:12" x14ac:dyDescent="0.5">
      <c r="J79">
        <v>78</v>
      </c>
      <c r="K79">
        <f t="shared" si="8"/>
        <v>2</v>
      </c>
      <c r="L79">
        <f t="shared" si="9"/>
        <v>2</v>
      </c>
    </row>
    <row r="80" spans="10:12" x14ac:dyDescent="0.5">
      <c r="J80">
        <v>79</v>
      </c>
      <c r="K80">
        <f t="shared" si="8"/>
        <v>2</v>
      </c>
      <c r="L80">
        <f t="shared" si="9"/>
        <v>2</v>
      </c>
    </row>
    <row r="81" spans="10:12" x14ac:dyDescent="0.5">
      <c r="J81">
        <v>80</v>
      </c>
      <c r="K81">
        <f t="shared" si="8"/>
        <v>2</v>
      </c>
      <c r="L81">
        <f t="shared" si="9"/>
        <v>2</v>
      </c>
    </row>
    <row r="82" spans="10:12" x14ac:dyDescent="0.5">
      <c r="J82">
        <v>81</v>
      </c>
      <c r="K82">
        <f t="shared" si="8"/>
        <v>2</v>
      </c>
      <c r="L82">
        <f t="shared" si="9"/>
        <v>2</v>
      </c>
    </row>
    <row r="83" spans="10:12" x14ac:dyDescent="0.5">
      <c r="J83">
        <v>82</v>
      </c>
      <c r="K83">
        <f t="shared" si="8"/>
        <v>2</v>
      </c>
      <c r="L83">
        <f t="shared" si="9"/>
        <v>2</v>
      </c>
    </row>
    <row r="84" spans="10:12" x14ac:dyDescent="0.5">
      <c r="J84">
        <v>83</v>
      </c>
      <c r="K84">
        <f t="shared" si="8"/>
        <v>2</v>
      </c>
      <c r="L84">
        <f t="shared" si="9"/>
        <v>2</v>
      </c>
    </row>
    <row r="85" spans="10:12" x14ac:dyDescent="0.5">
      <c r="J85">
        <v>84</v>
      </c>
      <c r="K85">
        <f t="shared" si="8"/>
        <v>2</v>
      </c>
      <c r="L85">
        <f t="shared" si="9"/>
        <v>2</v>
      </c>
    </row>
    <row r="86" spans="10:12" x14ac:dyDescent="0.5">
      <c r="J86">
        <v>85</v>
      </c>
      <c r="K86">
        <f t="shared" si="8"/>
        <v>2</v>
      </c>
      <c r="L86">
        <f t="shared" si="9"/>
        <v>2</v>
      </c>
    </row>
    <row r="87" spans="10:12" x14ac:dyDescent="0.5">
      <c r="J87">
        <v>86</v>
      </c>
      <c r="K87">
        <f t="shared" si="8"/>
        <v>2</v>
      </c>
      <c r="L87">
        <f t="shared" si="9"/>
        <v>2</v>
      </c>
    </row>
    <row r="88" spans="10:12" x14ac:dyDescent="0.5">
      <c r="J88">
        <v>87</v>
      </c>
      <c r="K88">
        <f t="shared" si="8"/>
        <v>2</v>
      </c>
      <c r="L88">
        <f t="shared" si="9"/>
        <v>2</v>
      </c>
    </row>
    <row r="89" spans="10:12" x14ac:dyDescent="0.5">
      <c r="J89">
        <v>88</v>
      </c>
      <c r="K89">
        <f t="shared" si="8"/>
        <v>2</v>
      </c>
      <c r="L89">
        <f t="shared" si="9"/>
        <v>2</v>
      </c>
    </row>
    <row r="90" spans="10:12" x14ac:dyDescent="0.5">
      <c r="J90">
        <v>89</v>
      </c>
      <c r="K90">
        <f t="shared" si="8"/>
        <v>2</v>
      </c>
      <c r="L90">
        <f t="shared" si="9"/>
        <v>2</v>
      </c>
    </row>
    <row r="91" spans="10:12" x14ac:dyDescent="0.5">
      <c r="J91">
        <v>90</v>
      </c>
      <c r="K91">
        <f>Bonus11</f>
        <v>3</v>
      </c>
      <c r="L91">
        <f>SkillPoints6</f>
        <v>3</v>
      </c>
    </row>
    <row r="92" spans="10:12" x14ac:dyDescent="0.5">
      <c r="J92">
        <v>91</v>
      </c>
      <c r="K92">
        <f>Bonus11</f>
        <v>3</v>
      </c>
      <c r="L92">
        <f>SkillPoints6</f>
        <v>3</v>
      </c>
    </row>
    <row r="93" spans="10:12" x14ac:dyDescent="0.5">
      <c r="J93">
        <v>92</v>
      </c>
      <c r="K93">
        <f>Bonus11</f>
        <v>3</v>
      </c>
      <c r="L93">
        <f>SkillPoints6</f>
        <v>3</v>
      </c>
    </row>
    <row r="94" spans="10:12" x14ac:dyDescent="0.5">
      <c r="J94">
        <v>93</v>
      </c>
      <c r="K94">
        <f>Bonus11</f>
        <v>3</v>
      </c>
      <c r="L94">
        <f>SkillPoints6</f>
        <v>3</v>
      </c>
    </row>
    <row r="95" spans="10:12" x14ac:dyDescent="0.5">
      <c r="J95">
        <v>94</v>
      </c>
      <c r="K95">
        <f>Bonus11</f>
        <v>3</v>
      </c>
      <c r="L95">
        <f>SkillPoints6</f>
        <v>3</v>
      </c>
    </row>
    <row r="96" spans="10:12" x14ac:dyDescent="0.5">
      <c r="J96">
        <v>95</v>
      </c>
      <c r="K96">
        <f>Bonus7</f>
        <v>4</v>
      </c>
      <c r="L96">
        <f>SkillPoints7</f>
        <v>4</v>
      </c>
    </row>
    <row r="97" spans="10:12" x14ac:dyDescent="0.5">
      <c r="J97">
        <v>96</v>
      </c>
      <c r="K97">
        <f>Bonus7</f>
        <v>4</v>
      </c>
      <c r="L97">
        <f>SkillPoints7</f>
        <v>4</v>
      </c>
    </row>
    <row r="98" spans="10:12" x14ac:dyDescent="0.5">
      <c r="J98">
        <v>97</v>
      </c>
      <c r="K98">
        <f>Bonus7</f>
        <v>4</v>
      </c>
      <c r="L98">
        <f>SkillPoints7</f>
        <v>4</v>
      </c>
    </row>
    <row r="99" spans="10:12" x14ac:dyDescent="0.5">
      <c r="J99">
        <v>98</v>
      </c>
      <c r="K99">
        <f>Bonus7</f>
        <v>4</v>
      </c>
      <c r="L99">
        <f>SkillPoints7</f>
        <v>4</v>
      </c>
    </row>
    <row r="100" spans="10:12" x14ac:dyDescent="0.5">
      <c r="J100">
        <v>99</v>
      </c>
      <c r="K100">
        <f>Bonus8</f>
        <v>7</v>
      </c>
      <c r="L100">
        <f>SkillPoints8</f>
        <v>5</v>
      </c>
    </row>
    <row r="101" spans="10:12" x14ac:dyDescent="0.5">
      <c r="J101">
        <v>100</v>
      </c>
      <c r="K101">
        <f>Bonus10</f>
        <v>10</v>
      </c>
      <c r="L101">
        <f>SkillPoints9</f>
        <v>7</v>
      </c>
    </row>
  </sheetData>
  <mergeCells count="1">
    <mergeCell ref="A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1333D-1504-724E-8A7F-515A6D2D04FB}">
  <sheetPr codeName="Sheet4"/>
  <dimension ref="A1:J26"/>
  <sheetViews>
    <sheetView zoomScaleNormal="80" zoomScaleSheetLayoutView="100" workbookViewId="0">
      <selection activeCell="L22" sqref="L22"/>
    </sheetView>
  </sheetViews>
  <sheetFormatPr defaultRowHeight="14.1" x14ac:dyDescent="0.5"/>
  <cols>
    <col min="1" max="1" width="4.88671875" style="5" customWidth="1"/>
    <col min="2" max="2" width="13.6640625" customWidth="1"/>
    <col min="3" max="3" width="11.44140625" customWidth="1"/>
    <col min="4" max="4" width="10.44140625" customWidth="1"/>
    <col min="5" max="5" width="10.21875" customWidth="1"/>
    <col min="6" max="6" width="12.33203125" customWidth="1"/>
    <col min="7" max="7" width="14.44140625" customWidth="1"/>
    <col min="8" max="8" width="9.44140625" customWidth="1"/>
    <col min="9" max="9" width="10.21875" customWidth="1"/>
    <col min="10" max="10" width="13" customWidth="1"/>
  </cols>
  <sheetData>
    <row r="1" spans="1:10" x14ac:dyDescent="0.5">
      <c r="A1" s="11"/>
      <c r="B1" s="12" t="s">
        <v>81</v>
      </c>
      <c r="C1" s="12" t="s">
        <v>81</v>
      </c>
      <c r="D1" s="12" t="s">
        <v>53</v>
      </c>
      <c r="E1" s="12" t="s">
        <v>53</v>
      </c>
      <c r="F1" s="12" t="s">
        <v>85</v>
      </c>
      <c r="G1" s="12" t="s">
        <v>85</v>
      </c>
      <c r="H1" s="12" t="s">
        <v>13</v>
      </c>
      <c r="I1" s="12" t="s">
        <v>14</v>
      </c>
      <c r="J1" s="12" t="s">
        <v>16</v>
      </c>
    </row>
    <row r="2" spans="1:10" x14ac:dyDescent="0.5">
      <c r="A2" s="11"/>
      <c r="B2" s="9" t="s">
        <v>3</v>
      </c>
      <c r="C2" s="9" t="s">
        <v>4</v>
      </c>
      <c r="D2" s="9" t="s">
        <v>3</v>
      </c>
      <c r="E2" s="9" t="s">
        <v>4</v>
      </c>
      <c r="F2" s="9" t="s">
        <v>7</v>
      </c>
      <c r="G2" s="9" t="s">
        <v>7</v>
      </c>
      <c r="H2" s="9" t="s">
        <v>7</v>
      </c>
      <c r="I2" s="9" t="s">
        <v>3</v>
      </c>
      <c r="J2" s="9" t="s">
        <v>4</v>
      </c>
    </row>
    <row r="3" spans="1:10" x14ac:dyDescent="0.5">
      <c r="A3" s="11" t="s">
        <v>83</v>
      </c>
      <c r="B3" s="10" t="s">
        <v>5</v>
      </c>
      <c r="C3" s="10" t="s">
        <v>6</v>
      </c>
      <c r="D3" s="10" t="s">
        <v>397</v>
      </c>
      <c r="E3" s="10" t="s">
        <v>88</v>
      </c>
      <c r="F3" s="10" t="s">
        <v>145</v>
      </c>
      <c r="G3" s="10" t="s">
        <v>82</v>
      </c>
      <c r="H3" s="10" t="s">
        <v>146</v>
      </c>
      <c r="I3" s="10" t="s">
        <v>147</v>
      </c>
      <c r="J3" s="10" t="s">
        <v>245</v>
      </c>
    </row>
    <row r="4" spans="1:10" x14ac:dyDescent="0.5">
      <c r="A4" s="11">
        <v>1</v>
      </c>
      <c r="B4" s="355" t="s">
        <v>140</v>
      </c>
      <c r="C4" s="356"/>
      <c r="D4" s="355" t="s">
        <v>105</v>
      </c>
      <c r="E4" s="356"/>
      <c r="F4" s="355" t="s">
        <v>118</v>
      </c>
      <c r="G4" s="356"/>
      <c r="H4" s="6" t="s">
        <v>132</v>
      </c>
      <c r="I4" s="7" t="s">
        <v>131</v>
      </c>
      <c r="J4" s="8" t="s">
        <v>91</v>
      </c>
    </row>
    <row r="5" spans="1:10" x14ac:dyDescent="0.5">
      <c r="A5" s="11">
        <v>2</v>
      </c>
      <c r="B5" s="355"/>
      <c r="C5" s="356" t="s">
        <v>94</v>
      </c>
      <c r="D5" s="355"/>
      <c r="E5" s="356" t="s">
        <v>107</v>
      </c>
      <c r="F5" s="355"/>
      <c r="G5" s="356" t="s">
        <v>124</v>
      </c>
      <c r="H5" s="6"/>
      <c r="I5" s="7"/>
      <c r="J5" s="8"/>
    </row>
    <row r="6" spans="1:10" x14ac:dyDescent="0.5">
      <c r="A6" s="11">
        <v>3</v>
      </c>
      <c r="B6" s="355" t="s">
        <v>86</v>
      </c>
      <c r="C6" s="356"/>
      <c r="D6" s="355" t="s">
        <v>104</v>
      </c>
      <c r="E6" s="356"/>
      <c r="F6" s="355" t="s">
        <v>122</v>
      </c>
      <c r="G6" s="356"/>
      <c r="H6" s="6"/>
      <c r="I6" s="7"/>
      <c r="J6" s="8" t="s">
        <v>92</v>
      </c>
    </row>
    <row r="7" spans="1:10" x14ac:dyDescent="0.5">
      <c r="A7" s="11">
        <v>4</v>
      </c>
      <c r="B7" s="355"/>
      <c r="C7" s="356" t="s">
        <v>96</v>
      </c>
      <c r="D7" s="355"/>
      <c r="E7" s="356" t="s">
        <v>6</v>
      </c>
      <c r="F7" s="355"/>
      <c r="G7" s="356" t="s">
        <v>123</v>
      </c>
      <c r="H7" s="6" t="s">
        <v>133</v>
      </c>
      <c r="I7" s="7" t="s">
        <v>136</v>
      </c>
      <c r="J7" s="8"/>
    </row>
    <row r="8" spans="1:10" x14ac:dyDescent="0.5">
      <c r="A8" s="11">
        <v>5</v>
      </c>
      <c r="B8" s="355" t="s">
        <v>93</v>
      </c>
      <c r="C8" s="356"/>
      <c r="D8" s="355" t="s">
        <v>106</v>
      </c>
      <c r="E8" s="356"/>
      <c r="F8" s="355" t="s">
        <v>121</v>
      </c>
      <c r="G8" s="356"/>
      <c r="H8" s="6"/>
      <c r="I8" s="7"/>
      <c r="J8" s="8" t="s">
        <v>141</v>
      </c>
    </row>
    <row r="9" spans="1:10" x14ac:dyDescent="0.5">
      <c r="A9" s="11">
        <v>6</v>
      </c>
      <c r="B9" s="355"/>
      <c r="C9" s="356" t="s">
        <v>95</v>
      </c>
      <c r="D9" s="355"/>
      <c r="E9" s="356" t="s">
        <v>5</v>
      </c>
      <c r="F9" s="355"/>
      <c r="G9" s="356" t="s">
        <v>119</v>
      </c>
      <c r="H9" s="6"/>
      <c r="I9" s="7"/>
      <c r="J9" s="8"/>
    </row>
    <row r="10" spans="1:10" x14ac:dyDescent="0.5">
      <c r="A10" s="11">
        <v>7</v>
      </c>
      <c r="B10" s="355" t="s">
        <v>87</v>
      </c>
      <c r="C10" s="356"/>
      <c r="D10" s="355" t="s">
        <v>108</v>
      </c>
      <c r="E10" s="356"/>
      <c r="F10" s="355" t="s">
        <v>89</v>
      </c>
      <c r="G10" s="356"/>
      <c r="H10" s="6" t="s">
        <v>128</v>
      </c>
      <c r="I10" s="7" t="s">
        <v>137</v>
      </c>
      <c r="J10" s="8" t="s">
        <v>142</v>
      </c>
    </row>
    <row r="11" spans="1:10" x14ac:dyDescent="0.5">
      <c r="A11" s="11">
        <v>8</v>
      </c>
      <c r="B11" s="355"/>
      <c r="C11" s="356" t="s">
        <v>97</v>
      </c>
      <c r="D11" s="355"/>
      <c r="E11" s="356" t="s">
        <v>109</v>
      </c>
      <c r="F11" s="355"/>
      <c r="G11" s="356" t="s">
        <v>129</v>
      </c>
      <c r="H11" s="6"/>
      <c r="I11" s="7"/>
      <c r="J11" s="8"/>
    </row>
    <row r="12" spans="1:10" x14ac:dyDescent="0.5">
      <c r="A12" s="11">
        <v>9</v>
      </c>
      <c r="B12" s="355" t="s">
        <v>98</v>
      </c>
      <c r="C12" s="356"/>
      <c r="D12" s="355" t="s">
        <v>111</v>
      </c>
      <c r="E12" s="356"/>
      <c r="F12" s="355" t="s">
        <v>120</v>
      </c>
      <c r="G12" s="356"/>
      <c r="H12" s="6"/>
      <c r="I12" s="7"/>
      <c r="J12" s="8" t="s">
        <v>143</v>
      </c>
    </row>
    <row r="13" spans="1:10" x14ac:dyDescent="0.5">
      <c r="A13" s="11">
        <v>10</v>
      </c>
      <c r="B13" s="355"/>
      <c r="C13" s="356" t="s">
        <v>99</v>
      </c>
      <c r="D13" s="355"/>
      <c r="E13" s="356" t="s">
        <v>112</v>
      </c>
      <c r="F13" s="355"/>
      <c r="G13" s="356" t="s">
        <v>125</v>
      </c>
      <c r="H13" s="6" t="s">
        <v>134</v>
      </c>
      <c r="I13" s="7" t="s">
        <v>138</v>
      </c>
      <c r="J13" s="8"/>
    </row>
    <row r="14" spans="1:10" x14ac:dyDescent="0.5">
      <c r="A14" s="11">
        <v>12</v>
      </c>
      <c r="B14" s="355" t="s">
        <v>100</v>
      </c>
      <c r="C14" s="356"/>
      <c r="D14" s="355" t="s">
        <v>114</v>
      </c>
      <c r="E14" s="356"/>
      <c r="F14" s="355" t="s">
        <v>128</v>
      </c>
      <c r="G14" s="356"/>
      <c r="H14" s="6"/>
      <c r="I14" s="7"/>
      <c r="J14" s="8" t="s">
        <v>144</v>
      </c>
    </row>
    <row r="15" spans="1:10" x14ac:dyDescent="0.5">
      <c r="A15" s="11">
        <v>15</v>
      </c>
      <c r="B15" s="355"/>
      <c r="C15" s="356" t="s">
        <v>101</v>
      </c>
      <c r="D15" s="355"/>
      <c r="E15" s="356" t="s">
        <v>113</v>
      </c>
      <c r="F15" s="355"/>
      <c r="G15" s="356" t="s">
        <v>90</v>
      </c>
      <c r="H15" s="6"/>
      <c r="I15" s="7"/>
      <c r="J15" s="8"/>
    </row>
    <row r="16" spans="1:10" x14ac:dyDescent="0.5">
      <c r="A16" s="11">
        <v>20</v>
      </c>
      <c r="B16" s="355" t="s">
        <v>102</v>
      </c>
      <c r="C16" s="356"/>
      <c r="D16" s="355" t="s">
        <v>116</v>
      </c>
      <c r="E16" s="356"/>
      <c r="F16" s="355" t="s">
        <v>127</v>
      </c>
      <c r="G16" s="356"/>
      <c r="H16" s="6" t="s">
        <v>135</v>
      </c>
      <c r="I16" s="7" t="s">
        <v>139</v>
      </c>
      <c r="J16" s="8"/>
    </row>
    <row r="17" spans="1:10" x14ac:dyDescent="0.5">
      <c r="A17" s="11">
        <v>30</v>
      </c>
      <c r="B17" s="355"/>
      <c r="C17" s="356" t="s">
        <v>103</v>
      </c>
      <c r="D17" s="355"/>
      <c r="E17" s="356" t="s">
        <v>117</v>
      </c>
      <c r="F17" s="355"/>
      <c r="G17" s="356" t="s">
        <v>126</v>
      </c>
      <c r="H17" s="6"/>
      <c r="I17" s="7"/>
      <c r="J17" s="8" t="s">
        <v>89</v>
      </c>
    </row>
    <row r="18" spans="1:10" x14ac:dyDescent="0.5">
      <c r="A18" s="11">
        <v>50</v>
      </c>
      <c r="B18" s="355" t="s">
        <v>110</v>
      </c>
      <c r="C18" s="356"/>
      <c r="D18" s="355" t="s">
        <v>115</v>
      </c>
      <c r="E18" s="356"/>
      <c r="F18" s="355" t="s">
        <v>130</v>
      </c>
      <c r="G18" s="356"/>
      <c r="H18" s="6"/>
      <c r="I18" s="7"/>
      <c r="J18" s="8"/>
    </row>
    <row r="20" spans="1:10" x14ac:dyDescent="0.5">
      <c r="A20" s="343" t="s">
        <v>568</v>
      </c>
      <c r="B20" s="345"/>
      <c r="C20" s="345"/>
      <c r="D20" s="345"/>
      <c r="E20" s="345"/>
      <c r="F20" s="345"/>
      <c r="G20" s="345"/>
      <c r="H20" s="345"/>
      <c r="I20" s="345"/>
      <c r="J20" s="345"/>
    </row>
    <row r="21" spans="1:10" s="13" customFormat="1" x14ac:dyDescent="0.5">
      <c r="A21" s="344"/>
      <c r="B21" s="342" t="s">
        <v>264</v>
      </c>
      <c r="C21" s="346" t="s">
        <v>264</v>
      </c>
      <c r="D21" s="342" t="s">
        <v>262</v>
      </c>
      <c r="E21" s="346" t="s">
        <v>262</v>
      </c>
      <c r="F21" s="342"/>
      <c r="G21" s="346"/>
      <c r="H21" s="358"/>
      <c r="I21" s="348" t="s">
        <v>262</v>
      </c>
      <c r="J21" s="347"/>
    </row>
    <row r="22" spans="1:10" s="13" customFormat="1" x14ac:dyDescent="0.5">
      <c r="A22" s="344"/>
      <c r="B22" s="342" t="s">
        <v>263</v>
      </c>
      <c r="C22" s="346" t="s">
        <v>263</v>
      </c>
      <c r="D22" s="342" t="s">
        <v>263</v>
      </c>
      <c r="E22" s="346" t="s">
        <v>263</v>
      </c>
      <c r="F22" s="342" t="s">
        <v>263</v>
      </c>
      <c r="G22" s="346" t="s">
        <v>263</v>
      </c>
      <c r="H22" s="358"/>
      <c r="I22" s="348" t="s">
        <v>263</v>
      </c>
      <c r="J22" s="347" t="s">
        <v>263</v>
      </c>
    </row>
    <row r="23" spans="1:10" s="13" customFormat="1" x14ac:dyDescent="0.5">
      <c r="A23" s="344"/>
      <c r="B23" s="342" t="s">
        <v>265</v>
      </c>
      <c r="C23" s="346" t="s">
        <v>265</v>
      </c>
      <c r="D23" s="342" t="s">
        <v>265</v>
      </c>
      <c r="E23" s="346" t="s">
        <v>265</v>
      </c>
      <c r="F23" s="342"/>
      <c r="G23" s="346"/>
      <c r="H23" s="358"/>
      <c r="I23" s="348" t="s">
        <v>266</v>
      </c>
      <c r="J23" s="347" t="s">
        <v>265</v>
      </c>
    </row>
    <row r="24" spans="1:10" s="13" customFormat="1" x14ac:dyDescent="0.5">
      <c r="A24" s="15"/>
      <c r="B24" s="342"/>
      <c r="C24" s="342"/>
      <c r="D24" s="342"/>
      <c r="E24" s="342"/>
      <c r="F24" s="342"/>
      <c r="G24" s="342"/>
      <c r="H24" s="342"/>
      <c r="I24" s="342"/>
      <c r="J24" s="342"/>
    </row>
    <row r="25" spans="1:10" s="13" customFormat="1" x14ac:dyDescent="0.5">
      <c r="A25" s="349" t="s">
        <v>567</v>
      </c>
      <c r="B25" s="350"/>
      <c r="C25" s="350"/>
      <c r="D25" s="350"/>
      <c r="E25" s="350"/>
      <c r="F25" s="350"/>
      <c r="G25" s="350"/>
      <c r="H25" s="350"/>
      <c r="I25" s="350"/>
      <c r="J25" s="350"/>
    </row>
    <row r="26" spans="1:10" s="13" customFormat="1" x14ac:dyDescent="0.5">
      <c r="A26" s="351"/>
      <c r="B26" s="342" t="s">
        <v>569</v>
      </c>
      <c r="C26" s="352" t="s">
        <v>569</v>
      </c>
      <c r="D26" s="342" t="s">
        <v>570</v>
      </c>
      <c r="E26" s="352" t="s">
        <v>570</v>
      </c>
      <c r="F26" s="342" t="s">
        <v>571</v>
      </c>
      <c r="G26" s="352" t="s">
        <v>571</v>
      </c>
      <c r="H26" s="357" t="s">
        <v>571</v>
      </c>
      <c r="I26" s="354" t="s">
        <v>570</v>
      </c>
      <c r="J26" s="353" t="s">
        <v>572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D2DA5-AC4D-C64A-B689-50F4EB8E2BB7}">
  <sheetPr codeName="Sheet5"/>
  <dimension ref="A1:J68"/>
  <sheetViews>
    <sheetView topLeftCell="C1" zoomScaleNormal="80" zoomScaleSheetLayoutView="100" workbookViewId="0">
      <pane ySplit="1" topLeftCell="A42" activePane="bottomLeft" state="frozen"/>
      <selection pane="bottomLeft" activeCell="I64" sqref="I64"/>
    </sheetView>
  </sheetViews>
  <sheetFormatPr defaultRowHeight="14.1" x14ac:dyDescent="0.5"/>
  <cols>
    <col min="1" max="1" width="10.33203125" customWidth="1"/>
    <col min="2" max="2" width="7.6640625" customWidth="1"/>
    <col min="3" max="3" width="14.44140625" customWidth="1"/>
    <col min="4" max="4" width="7.6640625" customWidth="1"/>
    <col min="5" max="5" width="9.44140625" customWidth="1"/>
    <col min="6" max="6" width="8.77734375" customWidth="1"/>
    <col min="7" max="7" width="14" customWidth="1"/>
    <col min="8" max="8" width="16" customWidth="1"/>
    <col min="9" max="9" width="16.77734375" customWidth="1"/>
    <col min="10" max="10" width="118" customWidth="1"/>
  </cols>
  <sheetData>
    <row r="1" spans="1:10" ht="14.4" thickBot="1" x14ac:dyDescent="0.55000000000000004">
      <c r="A1" s="72" t="s">
        <v>148</v>
      </c>
      <c r="B1" s="73" t="s">
        <v>83</v>
      </c>
      <c r="C1" s="73" t="s">
        <v>149</v>
      </c>
      <c r="D1" s="73" t="s">
        <v>150</v>
      </c>
      <c r="E1" s="73" t="s">
        <v>151</v>
      </c>
      <c r="F1" s="73" t="s">
        <v>156</v>
      </c>
      <c r="G1" s="73" t="s">
        <v>152</v>
      </c>
      <c r="H1" s="73" t="s">
        <v>153</v>
      </c>
      <c r="I1" s="73" t="s">
        <v>172</v>
      </c>
      <c r="J1" s="73" t="s">
        <v>154</v>
      </c>
    </row>
    <row r="2" spans="1:10" ht="14.4" thickTop="1" x14ac:dyDescent="0.5">
      <c r="A2" s="74" t="s">
        <v>5</v>
      </c>
      <c r="B2" s="75">
        <v>1</v>
      </c>
      <c r="C2" s="75" t="s">
        <v>140</v>
      </c>
      <c r="D2" s="76" t="s">
        <v>155</v>
      </c>
      <c r="E2" s="77" t="s">
        <v>152</v>
      </c>
      <c r="F2" s="78" t="s">
        <v>157</v>
      </c>
      <c r="G2" s="78" t="s">
        <v>161</v>
      </c>
      <c r="H2" s="78" t="s">
        <v>166</v>
      </c>
      <c r="I2" s="76" t="s">
        <v>174</v>
      </c>
      <c r="J2" s="76" t="s">
        <v>168</v>
      </c>
    </row>
    <row r="3" spans="1:10" x14ac:dyDescent="0.5">
      <c r="A3" s="79"/>
      <c r="B3" s="80">
        <v>3</v>
      </c>
      <c r="C3" s="80" t="s">
        <v>86</v>
      </c>
      <c r="D3" s="81" t="s">
        <v>155</v>
      </c>
      <c r="E3" s="82">
        <v>1</v>
      </c>
      <c r="F3" s="83" t="s">
        <v>157</v>
      </c>
      <c r="G3" s="84"/>
      <c r="H3" s="83" t="s">
        <v>160</v>
      </c>
      <c r="I3" s="85" t="s">
        <v>173</v>
      </c>
      <c r="J3" s="81" t="s">
        <v>169</v>
      </c>
    </row>
    <row r="4" spans="1:10" x14ac:dyDescent="0.5">
      <c r="A4" s="79"/>
      <c r="B4" s="80">
        <v>5</v>
      </c>
      <c r="C4" s="80" t="s">
        <v>93</v>
      </c>
      <c r="D4" s="85" t="s">
        <v>186</v>
      </c>
      <c r="E4" s="82" t="s">
        <v>152</v>
      </c>
      <c r="F4" s="84" t="s">
        <v>186</v>
      </c>
      <c r="G4" s="84" t="s">
        <v>408</v>
      </c>
      <c r="H4" s="84"/>
      <c r="I4" s="85" t="s">
        <v>175</v>
      </c>
      <c r="J4" s="85" t="s">
        <v>171</v>
      </c>
    </row>
    <row r="5" spans="1:10" x14ac:dyDescent="0.5">
      <c r="A5" s="79"/>
      <c r="B5" s="80">
        <v>7</v>
      </c>
      <c r="C5" s="80" t="s">
        <v>87</v>
      </c>
      <c r="D5" s="81" t="s">
        <v>155</v>
      </c>
      <c r="E5" s="82" t="s">
        <v>152</v>
      </c>
      <c r="F5" s="83" t="s">
        <v>158</v>
      </c>
      <c r="G5" s="84" t="s">
        <v>159</v>
      </c>
      <c r="H5" s="83" t="s">
        <v>167</v>
      </c>
      <c r="I5" s="85" t="s">
        <v>173</v>
      </c>
      <c r="J5" s="81" t="s">
        <v>170</v>
      </c>
    </row>
    <row r="6" spans="1:10" x14ac:dyDescent="0.5">
      <c r="A6" s="79"/>
      <c r="B6" s="80">
        <v>9</v>
      </c>
      <c r="C6" s="80" t="s">
        <v>98</v>
      </c>
      <c r="D6" s="85" t="s">
        <v>155</v>
      </c>
      <c r="E6" s="82">
        <v>1</v>
      </c>
      <c r="F6" s="84" t="s">
        <v>157</v>
      </c>
      <c r="G6" s="84"/>
      <c r="H6" s="84" t="s">
        <v>165</v>
      </c>
      <c r="I6" s="85" t="s">
        <v>173</v>
      </c>
      <c r="J6" s="85" t="s">
        <v>176</v>
      </c>
    </row>
    <row r="7" spans="1:10" x14ac:dyDescent="0.5">
      <c r="A7" s="79"/>
      <c r="B7" s="80">
        <v>12</v>
      </c>
      <c r="C7" s="80" t="s">
        <v>100</v>
      </c>
      <c r="D7" s="81" t="s">
        <v>155</v>
      </c>
      <c r="E7" s="82">
        <v>1</v>
      </c>
      <c r="F7" s="83" t="s">
        <v>158</v>
      </c>
      <c r="G7" s="84"/>
      <c r="H7" s="83"/>
      <c r="I7" s="85" t="s">
        <v>173</v>
      </c>
      <c r="J7" s="81" t="s">
        <v>177</v>
      </c>
    </row>
    <row r="8" spans="1:10" x14ac:dyDescent="0.5">
      <c r="A8" s="79"/>
      <c r="B8" s="80">
        <v>20</v>
      </c>
      <c r="C8" s="80" t="s">
        <v>102</v>
      </c>
      <c r="D8" s="85" t="s">
        <v>186</v>
      </c>
      <c r="E8" s="82"/>
      <c r="F8" s="84"/>
      <c r="G8" s="84"/>
      <c r="H8" s="84"/>
      <c r="I8" s="85" t="s">
        <v>173</v>
      </c>
      <c r="J8" s="85" t="s">
        <v>178</v>
      </c>
    </row>
    <row r="9" spans="1:10" x14ac:dyDescent="0.5">
      <c r="A9" s="79"/>
      <c r="B9" s="80">
        <v>50</v>
      </c>
      <c r="C9" s="80" t="s">
        <v>110</v>
      </c>
      <c r="D9" s="81" t="s">
        <v>155</v>
      </c>
      <c r="E9" s="82">
        <v>1</v>
      </c>
      <c r="F9" s="83" t="s">
        <v>159</v>
      </c>
      <c r="G9" s="84"/>
      <c r="H9" s="83"/>
      <c r="I9" s="85" t="s">
        <v>173</v>
      </c>
      <c r="J9" s="81" t="s">
        <v>179</v>
      </c>
    </row>
    <row r="10" spans="1:10" x14ac:dyDescent="0.5">
      <c r="A10" s="79" t="s">
        <v>6</v>
      </c>
      <c r="B10" s="80">
        <v>2</v>
      </c>
      <c r="C10" s="80" t="s">
        <v>94</v>
      </c>
      <c r="D10" s="85" t="s">
        <v>155</v>
      </c>
      <c r="E10" s="82" t="s">
        <v>152</v>
      </c>
      <c r="F10" s="84" t="s">
        <v>157</v>
      </c>
      <c r="G10" s="84">
        <v>5</v>
      </c>
      <c r="H10" s="84"/>
      <c r="I10" s="85" t="s">
        <v>183</v>
      </c>
      <c r="J10" s="85" t="s">
        <v>180</v>
      </c>
    </row>
    <row r="11" spans="1:10" x14ac:dyDescent="0.5">
      <c r="A11" s="79"/>
      <c r="B11" s="80">
        <v>4</v>
      </c>
      <c r="C11" s="80" t="s">
        <v>96</v>
      </c>
      <c r="D11" s="81" t="s">
        <v>155</v>
      </c>
      <c r="E11" s="82" t="s">
        <v>152</v>
      </c>
      <c r="F11" s="83" t="s">
        <v>157</v>
      </c>
      <c r="G11" s="84">
        <v>5</v>
      </c>
      <c r="H11" s="83"/>
      <c r="I11" s="85" t="s">
        <v>183</v>
      </c>
      <c r="J11" s="81" t="s">
        <v>181</v>
      </c>
    </row>
    <row r="12" spans="1:10" x14ac:dyDescent="0.5">
      <c r="A12" s="79"/>
      <c r="B12" s="80">
        <v>6</v>
      </c>
      <c r="C12" s="80" t="s">
        <v>95</v>
      </c>
      <c r="D12" s="85" t="s">
        <v>155</v>
      </c>
      <c r="E12" s="82">
        <v>1</v>
      </c>
      <c r="F12" s="84" t="s">
        <v>182</v>
      </c>
      <c r="G12" s="84"/>
      <c r="H12" s="84"/>
      <c r="I12" s="85" t="s">
        <v>183</v>
      </c>
      <c r="J12" s="85" t="s">
        <v>184</v>
      </c>
    </row>
    <row r="13" spans="1:10" x14ac:dyDescent="0.5">
      <c r="A13" s="79"/>
      <c r="B13" s="80">
        <v>8</v>
      </c>
      <c r="C13" s="80" t="s">
        <v>97</v>
      </c>
      <c r="D13" s="81" t="s">
        <v>155</v>
      </c>
      <c r="E13" s="82">
        <v>1</v>
      </c>
      <c r="F13" s="83" t="s">
        <v>157</v>
      </c>
      <c r="G13" s="84"/>
      <c r="H13" s="83"/>
      <c r="I13" s="85" t="s">
        <v>183</v>
      </c>
      <c r="J13" s="81" t="s">
        <v>185</v>
      </c>
    </row>
    <row r="14" spans="1:10" x14ac:dyDescent="0.5">
      <c r="A14" s="79"/>
      <c r="B14" s="80">
        <v>10</v>
      </c>
      <c r="C14" s="80" t="s">
        <v>99</v>
      </c>
      <c r="D14" s="85" t="s">
        <v>186</v>
      </c>
      <c r="E14" s="82"/>
      <c r="F14" s="84"/>
      <c r="G14" s="84"/>
      <c r="H14" s="84"/>
      <c r="I14" s="85" t="s">
        <v>173</v>
      </c>
      <c r="J14" s="85" t="s">
        <v>187</v>
      </c>
    </row>
    <row r="15" spans="1:10" x14ac:dyDescent="0.5">
      <c r="A15" s="79"/>
      <c r="B15" s="80">
        <v>15</v>
      </c>
      <c r="C15" s="80" t="s">
        <v>101</v>
      </c>
      <c r="D15" s="81" t="s">
        <v>155</v>
      </c>
      <c r="E15" s="82">
        <v>1</v>
      </c>
      <c r="F15" s="83" t="s">
        <v>182</v>
      </c>
      <c r="G15" s="84"/>
      <c r="H15" s="83"/>
      <c r="I15" s="85" t="s">
        <v>173</v>
      </c>
      <c r="J15" s="81" t="s">
        <v>188</v>
      </c>
    </row>
    <row r="16" spans="1:10" x14ac:dyDescent="0.5">
      <c r="A16" s="79"/>
      <c r="B16" s="80">
        <v>30</v>
      </c>
      <c r="C16" s="80" t="s">
        <v>103</v>
      </c>
      <c r="D16" s="85" t="s">
        <v>155</v>
      </c>
      <c r="E16" s="82">
        <v>1</v>
      </c>
      <c r="F16" s="84" t="s">
        <v>182</v>
      </c>
      <c r="G16" s="84"/>
      <c r="H16" s="84"/>
      <c r="I16" s="85" t="s">
        <v>189</v>
      </c>
      <c r="J16" s="85" t="s">
        <v>190</v>
      </c>
    </row>
    <row r="17" spans="1:10" x14ac:dyDescent="0.5">
      <c r="A17" s="86"/>
      <c r="B17" s="81"/>
      <c r="C17" s="85"/>
      <c r="D17" s="81"/>
      <c r="E17" s="85"/>
      <c r="F17" s="81"/>
      <c r="G17" s="85"/>
      <c r="H17" s="81"/>
      <c r="I17" s="85"/>
      <c r="J17" s="81"/>
    </row>
    <row r="18" spans="1:10" x14ac:dyDescent="0.5">
      <c r="A18" s="79" t="s">
        <v>397</v>
      </c>
      <c r="B18" s="80">
        <v>1</v>
      </c>
      <c r="C18" s="80" t="s">
        <v>105</v>
      </c>
      <c r="D18" s="85" t="s">
        <v>186</v>
      </c>
      <c r="E18" s="82"/>
      <c r="F18" s="84" t="s">
        <v>159</v>
      </c>
      <c r="G18" s="84"/>
      <c r="H18" s="84"/>
      <c r="I18" s="85" t="s">
        <v>199</v>
      </c>
      <c r="J18" s="85" t="s">
        <v>191</v>
      </c>
    </row>
    <row r="19" spans="1:10" x14ac:dyDescent="0.5">
      <c r="A19" s="79"/>
      <c r="B19" s="80">
        <v>3</v>
      </c>
      <c r="C19" s="80" t="s">
        <v>104</v>
      </c>
      <c r="D19" s="81" t="s">
        <v>186</v>
      </c>
      <c r="E19" s="82"/>
      <c r="F19" s="83" t="s">
        <v>159</v>
      </c>
      <c r="G19" s="84"/>
      <c r="H19" s="83"/>
      <c r="I19" s="85" t="s">
        <v>199</v>
      </c>
      <c r="J19" s="81" t="s">
        <v>192</v>
      </c>
    </row>
    <row r="20" spans="1:10" x14ac:dyDescent="0.5">
      <c r="A20" s="79"/>
      <c r="B20" s="80">
        <v>5</v>
      </c>
      <c r="C20" s="80" t="s">
        <v>106</v>
      </c>
      <c r="D20" s="85" t="s">
        <v>186</v>
      </c>
      <c r="E20" s="82"/>
      <c r="F20" s="84" t="s">
        <v>159</v>
      </c>
      <c r="G20" s="84"/>
      <c r="H20" s="84"/>
      <c r="I20" s="85" t="s">
        <v>199</v>
      </c>
      <c r="J20" s="85" t="s">
        <v>193</v>
      </c>
    </row>
    <row r="21" spans="1:10" x14ac:dyDescent="0.5">
      <c r="A21" s="79"/>
      <c r="B21" s="80">
        <v>7</v>
      </c>
      <c r="C21" s="80" t="s">
        <v>108</v>
      </c>
      <c r="D21" s="81" t="s">
        <v>186</v>
      </c>
      <c r="E21" s="82"/>
      <c r="F21" s="83" t="s">
        <v>159</v>
      </c>
      <c r="G21" s="84"/>
      <c r="H21" s="83"/>
      <c r="I21" s="85" t="s">
        <v>199</v>
      </c>
      <c r="J21" s="81" t="s">
        <v>194</v>
      </c>
    </row>
    <row r="22" spans="1:10" x14ac:dyDescent="0.5">
      <c r="A22" s="79"/>
      <c r="B22" s="80">
        <v>9</v>
      </c>
      <c r="C22" s="80" t="s">
        <v>111</v>
      </c>
      <c r="D22" s="85" t="s">
        <v>186</v>
      </c>
      <c r="E22" s="82"/>
      <c r="F22" s="84" t="s">
        <v>159</v>
      </c>
      <c r="G22" s="84"/>
      <c r="H22" s="84"/>
      <c r="I22" s="85" t="s">
        <v>199</v>
      </c>
      <c r="J22" s="85" t="s">
        <v>195</v>
      </c>
    </row>
    <row r="23" spans="1:10" x14ac:dyDescent="0.5">
      <c r="A23" s="79"/>
      <c r="B23" s="80">
        <v>12</v>
      </c>
      <c r="C23" s="80" t="s">
        <v>114</v>
      </c>
      <c r="D23" s="81" t="s">
        <v>186</v>
      </c>
      <c r="E23" s="82"/>
      <c r="F23" s="83" t="s">
        <v>159</v>
      </c>
      <c r="G23" s="84"/>
      <c r="H23" s="83"/>
      <c r="I23" s="85" t="s">
        <v>199</v>
      </c>
      <c r="J23" s="81" t="s">
        <v>196</v>
      </c>
    </row>
    <row r="24" spans="1:10" x14ac:dyDescent="0.5">
      <c r="A24" s="79"/>
      <c r="B24" s="80">
        <v>20</v>
      </c>
      <c r="C24" s="80" t="s">
        <v>116</v>
      </c>
      <c r="D24" s="85" t="s">
        <v>186</v>
      </c>
      <c r="E24" s="82"/>
      <c r="F24" s="84" t="s">
        <v>159</v>
      </c>
      <c r="G24" s="84"/>
      <c r="H24" s="84"/>
      <c r="I24" s="85" t="s">
        <v>199</v>
      </c>
      <c r="J24" s="85" t="s">
        <v>197</v>
      </c>
    </row>
    <row r="25" spans="1:10" x14ac:dyDescent="0.5">
      <c r="A25" s="79"/>
      <c r="B25" s="80">
        <v>50</v>
      </c>
      <c r="C25" s="80" t="s">
        <v>115</v>
      </c>
      <c r="D25" s="81" t="s">
        <v>186</v>
      </c>
      <c r="E25" s="82"/>
      <c r="F25" s="83" t="s">
        <v>159</v>
      </c>
      <c r="G25" s="84"/>
      <c r="H25" s="83"/>
      <c r="I25" s="85" t="s">
        <v>199</v>
      </c>
      <c r="J25" s="81" t="s">
        <v>198</v>
      </c>
    </row>
    <row r="26" spans="1:10" x14ac:dyDescent="0.5">
      <c r="A26" s="79" t="s">
        <v>88</v>
      </c>
      <c r="B26" s="80">
        <v>2</v>
      </c>
      <c r="C26" s="80" t="s">
        <v>107</v>
      </c>
      <c r="D26" s="85" t="s">
        <v>155</v>
      </c>
      <c r="E26" s="82">
        <v>1</v>
      </c>
      <c r="F26" s="84" t="s">
        <v>200</v>
      </c>
      <c r="G26" s="84"/>
      <c r="H26" s="84" t="s">
        <v>162</v>
      </c>
      <c r="I26" s="85" t="s">
        <v>160</v>
      </c>
      <c r="J26" s="85" t="s">
        <v>201</v>
      </c>
    </row>
    <row r="27" spans="1:10" x14ac:dyDescent="0.5">
      <c r="A27" s="79"/>
      <c r="B27" s="80">
        <v>4</v>
      </c>
      <c r="C27" s="80" t="s">
        <v>6</v>
      </c>
      <c r="D27" s="81" t="s">
        <v>155</v>
      </c>
      <c r="E27" s="82">
        <v>1</v>
      </c>
      <c r="F27" s="83" t="s">
        <v>200</v>
      </c>
      <c r="G27" s="84"/>
      <c r="H27" s="83" t="s">
        <v>160</v>
      </c>
      <c r="I27" s="85" t="s">
        <v>160</v>
      </c>
      <c r="J27" s="81" t="s">
        <v>202</v>
      </c>
    </row>
    <row r="28" spans="1:10" x14ac:dyDescent="0.5">
      <c r="A28" s="79"/>
      <c r="B28" s="80">
        <v>6</v>
      </c>
      <c r="C28" s="80" t="s">
        <v>5</v>
      </c>
      <c r="D28" s="85" t="s">
        <v>155</v>
      </c>
      <c r="E28" s="82">
        <v>1</v>
      </c>
      <c r="F28" s="84" t="s">
        <v>200</v>
      </c>
      <c r="G28" s="84"/>
      <c r="H28" s="84" t="s">
        <v>160</v>
      </c>
      <c r="I28" s="85" t="s">
        <v>160</v>
      </c>
      <c r="J28" s="85" t="s">
        <v>203</v>
      </c>
    </row>
    <row r="29" spans="1:10" x14ac:dyDescent="0.5">
      <c r="A29" s="79"/>
      <c r="B29" s="80">
        <v>8</v>
      </c>
      <c r="C29" s="80" t="s">
        <v>109</v>
      </c>
      <c r="D29" s="81" t="s">
        <v>155</v>
      </c>
      <c r="E29" s="82">
        <v>1</v>
      </c>
      <c r="F29" s="83" t="s">
        <v>200</v>
      </c>
      <c r="G29" s="84"/>
      <c r="H29" s="83" t="s">
        <v>162</v>
      </c>
      <c r="I29" s="85" t="s">
        <v>160</v>
      </c>
      <c r="J29" s="81" t="s">
        <v>205</v>
      </c>
    </row>
    <row r="30" spans="1:10" x14ac:dyDescent="0.5">
      <c r="A30" s="79"/>
      <c r="B30" s="80">
        <v>10</v>
      </c>
      <c r="C30" s="80" t="s">
        <v>112</v>
      </c>
      <c r="D30" s="85" t="s">
        <v>155</v>
      </c>
      <c r="E30" s="82" t="s">
        <v>152</v>
      </c>
      <c r="F30" s="84" t="s">
        <v>200</v>
      </c>
      <c r="G30" s="84" t="s">
        <v>204</v>
      </c>
      <c r="H30" s="84" t="s">
        <v>160</v>
      </c>
      <c r="I30" s="85" t="s">
        <v>160</v>
      </c>
      <c r="J30" s="85" t="s">
        <v>201</v>
      </c>
    </row>
    <row r="31" spans="1:10" x14ac:dyDescent="0.5">
      <c r="A31" s="79"/>
      <c r="B31" s="80">
        <v>15</v>
      </c>
      <c r="C31" s="80" t="s">
        <v>113</v>
      </c>
      <c r="D31" s="81" t="s">
        <v>155</v>
      </c>
      <c r="E31" s="82" t="s">
        <v>152</v>
      </c>
      <c r="F31" s="83" t="s">
        <v>200</v>
      </c>
      <c r="G31" s="84" t="s">
        <v>204</v>
      </c>
      <c r="H31" s="83" t="s">
        <v>160</v>
      </c>
      <c r="I31" s="85" t="s">
        <v>160</v>
      </c>
      <c r="J31" s="81" t="s">
        <v>202</v>
      </c>
    </row>
    <row r="32" spans="1:10" x14ac:dyDescent="0.5">
      <c r="A32" s="79"/>
      <c r="B32" s="80">
        <v>30</v>
      </c>
      <c r="C32" s="80" t="s">
        <v>117</v>
      </c>
      <c r="D32" s="85" t="s">
        <v>155</v>
      </c>
      <c r="E32" s="82" t="s">
        <v>152</v>
      </c>
      <c r="F32" s="84" t="s">
        <v>200</v>
      </c>
      <c r="G32" s="84" t="s">
        <v>204</v>
      </c>
      <c r="H32" s="84" t="s">
        <v>162</v>
      </c>
      <c r="I32" s="85" t="s">
        <v>160</v>
      </c>
      <c r="J32" s="85" t="s">
        <v>206</v>
      </c>
    </row>
    <row r="33" spans="1:10" x14ac:dyDescent="0.5">
      <c r="A33" s="86"/>
      <c r="B33" s="87"/>
      <c r="C33" s="88"/>
      <c r="D33" s="87"/>
      <c r="E33" s="88"/>
      <c r="F33" s="87"/>
      <c r="G33" s="88"/>
      <c r="H33" s="87"/>
      <c r="I33" s="88"/>
      <c r="J33" s="87"/>
    </row>
    <row r="34" spans="1:10" x14ac:dyDescent="0.5">
      <c r="A34" s="79" t="s">
        <v>145</v>
      </c>
      <c r="B34" s="80">
        <v>1</v>
      </c>
      <c r="C34" s="80" t="s">
        <v>118</v>
      </c>
      <c r="D34" s="85" t="s">
        <v>155</v>
      </c>
      <c r="E34" s="82">
        <v>1</v>
      </c>
      <c r="F34" s="84" t="s">
        <v>182</v>
      </c>
      <c r="G34" s="84"/>
      <c r="H34" s="84"/>
      <c r="I34" s="85" t="s">
        <v>173</v>
      </c>
      <c r="J34" s="85" t="s">
        <v>212</v>
      </c>
    </row>
    <row r="35" spans="1:10" x14ac:dyDescent="0.5">
      <c r="A35" s="79"/>
      <c r="B35" s="80">
        <v>3</v>
      </c>
      <c r="C35" s="80" t="s">
        <v>122</v>
      </c>
      <c r="D35" s="81" t="s">
        <v>155</v>
      </c>
      <c r="E35" s="82" t="s">
        <v>152</v>
      </c>
      <c r="F35" s="83" t="s">
        <v>207</v>
      </c>
      <c r="G35" s="84" t="s">
        <v>210</v>
      </c>
      <c r="H35" s="83" t="s">
        <v>208</v>
      </c>
      <c r="I35" s="85" t="s">
        <v>173</v>
      </c>
      <c r="J35" s="81" t="s">
        <v>209</v>
      </c>
    </row>
    <row r="36" spans="1:10" x14ac:dyDescent="0.5">
      <c r="A36" s="79"/>
      <c r="B36" s="80">
        <v>5</v>
      </c>
      <c r="C36" s="80" t="s">
        <v>121</v>
      </c>
      <c r="D36" s="85" t="s">
        <v>155</v>
      </c>
      <c r="E36" s="82">
        <v>1</v>
      </c>
      <c r="F36" s="84" t="s">
        <v>182</v>
      </c>
      <c r="G36" s="84"/>
      <c r="H36" s="84"/>
      <c r="I36" s="85" t="s">
        <v>173</v>
      </c>
      <c r="J36" s="85" t="s">
        <v>211</v>
      </c>
    </row>
    <row r="37" spans="1:10" x14ac:dyDescent="0.5">
      <c r="A37" s="79"/>
      <c r="B37" s="80">
        <v>7</v>
      </c>
      <c r="C37" s="80" t="s">
        <v>89</v>
      </c>
      <c r="D37" s="81" t="s">
        <v>155</v>
      </c>
      <c r="E37" s="82">
        <v>1</v>
      </c>
      <c r="F37" s="83" t="s">
        <v>159</v>
      </c>
      <c r="G37" s="84"/>
      <c r="H37" s="83" t="s">
        <v>208</v>
      </c>
      <c r="I37" s="85" t="s">
        <v>173</v>
      </c>
      <c r="J37" s="81" t="s">
        <v>213</v>
      </c>
    </row>
    <row r="38" spans="1:10" x14ac:dyDescent="0.5">
      <c r="A38" s="79"/>
      <c r="B38" s="80">
        <v>9</v>
      </c>
      <c r="C38" s="80" t="s">
        <v>120</v>
      </c>
      <c r="D38" s="85" t="s">
        <v>155</v>
      </c>
      <c r="E38" s="82">
        <v>1</v>
      </c>
      <c r="F38" s="84" t="s">
        <v>182</v>
      </c>
      <c r="G38" s="84"/>
      <c r="H38" s="84"/>
      <c r="I38" s="85" t="s">
        <v>173</v>
      </c>
      <c r="J38" s="85" t="s">
        <v>214</v>
      </c>
    </row>
    <row r="39" spans="1:10" x14ac:dyDescent="0.5">
      <c r="A39" s="79"/>
      <c r="B39" s="80">
        <v>12</v>
      </c>
      <c r="C39" s="80" t="s">
        <v>128</v>
      </c>
      <c r="D39" s="81" t="s">
        <v>155</v>
      </c>
      <c r="E39" s="82" t="s">
        <v>152</v>
      </c>
      <c r="F39" s="83" t="s">
        <v>207</v>
      </c>
      <c r="G39" s="84" t="s">
        <v>210</v>
      </c>
      <c r="H39" s="83"/>
      <c r="I39" s="85" t="s">
        <v>183</v>
      </c>
      <c r="J39" s="81" t="s">
        <v>215</v>
      </c>
    </row>
    <row r="40" spans="1:10" x14ac:dyDescent="0.5">
      <c r="A40" s="79"/>
      <c r="B40" s="80">
        <v>20</v>
      </c>
      <c r="C40" s="80" t="s">
        <v>127</v>
      </c>
      <c r="D40" s="85" t="s">
        <v>155</v>
      </c>
      <c r="E40" s="82">
        <v>1</v>
      </c>
      <c r="F40" s="84" t="s">
        <v>182</v>
      </c>
      <c r="G40" s="84"/>
      <c r="H40" s="84"/>
      <c r="I40" s="85" t="s">
        <v>173</v>
      </c>
      <c r="J40" s="85" t="s">
        <v>216</v>
      </c>
    </row>
    <row r="41" spans="1:10" x14ac:dyDescent="0.5">
      <c r="A41" s="79"/>
      <c r="B41" s="80">
        <v>50</v>
      </c>
      <c r="C41" s="80" t="s">
        <v>130</v>
      </c>
      <c r="D41" s="81" t="s">
        <v>155</v>
      </c>
      <c r="E41" s="82">
        <v>1</v>
      </c>
      <c r="F41" s="83" t="s">
        <v>182</v>
      </c>
      <c r="G41" s="84"/>
      <c r="H41" s="83"/>
      <c r="I41" s="85" t="s">
        <v>173</v>
      </c>
      <c r="J41" s="81" t="s">
        <v>217</v>
      </c>
    </row>
    <row r="42" spans="1:10" x14ac:dyDescent="0.5">
      <c r="A42" s="79" t="s">
        <v>82</v>
      </c>
      <c r="B42" s="80">
        <v>2</v>
      </c>
      <c r="C42" s="80" t="s">
        <v>124</v>
      </c>
      <c r="D42" s="85" t="s">
        <v>155</v>
      </c>
      <c r="E42" s="82">
        <v>1</v>
      </c>
      <c r="F42" s="84" t="s">
        <v>218</v>
      </c>
      <c r="G42" s="84"/>
      <c r="H42" s="84" t="s">
        <v>219</v>
      </c>
      <c r="I42" s="85" t="s">
        <v>208</v>
      </c>
      <c r="J42" s="85" t="s">
        <v>224</v>
      </c>
    </row>
    <row r="43" spans="1:10" x14ac:dyDescent="0.5">
      <c r="A43" s="79"/>
      <c r="B43" s="80">
        <v>4</v>
      </c>
      <c r="C43" s="80" t="s">
        <v>123</v>
      </c>
      <c r="D43" s="81" t="s">
        <v>155</v>
      </c>
      <c r="E43" s="82" t="s">
        <v>152</v>
      </c>
      <c r="F43" s="83" t="s">
        <v>218</v>
      </c>
      <c r="G43" s="84" t="s">
        <v>210</v>
      </c>
      <c r="H43" s="83"/>
      <c r="I43" s="85" t="s">
        <v>208</v>
      </c>
      <c r="J43" s="81" t="s">
        <v>225</v>
      </c>
    </row>
    <row r="44" spans="1:10" x14ac:dyDescent="0.5">
      <c r="A44" s="79"/>
      <c r="B44" s="80">
        <v>6</v>
      </c>
      <c r="C44" s="80" t="s">
        <v>119</v>
      </c>
      <c r="D44" s="85" t="s">
        <v>155</v>
      </c>
      <c r="E44" s="82">
        <v>1</v>
      </c>
      <c r="F44" s="84" t="s">
        <v>218</v>
      </c>
      <c r="G44" s="84"/>
      <c r="H44" s="84" t="s">
        <v>222</v>
      </c>
      <c r="I44" s="85" t="s">
        <v>208</v>
      </c>
      <c r="J44" s="85" t="s">
        <v>226</v>
      </c>
    </row>
    <row r="45" spans="1:10" x14ac:dyDescent="0.5">
      <c r="A45" s="79"/>
      <c r="B45" s="80">
        <v>8</v>
      </c>
      <c r="C45" s="80" t="s">
        <v>129</v>
      </c>
      <c r="D45" s="81" t="s">
        <v>155</v>
      </c>
      <c r="E45" s="82" t="s">
        <v>152</v>
      </c>
      <c r="F45" s="83" t="s">
        <v>218</v>
      </c>
      <c r="G45" s="84" t="s">
        <v>210</v>
      </c>
      <c r="H45" s="83"/>
      <c r="I45" s="85" t="s">
        <v>173</v>
      </c>
      <c r="J45" s="81" t="s">
        <v>227</v>
      </c>
    </row>
    <row r="46" spans="1:10" x14ac:dyDescent="0.5">
      <c r="A46" s="79"/>
      <c r="B46" s="80">
        <v>10</v>
      </c>
      <c r="C46" s="80" t="s">
        <v>125</v>
      </c>
      <c r="D46" s="85" t="s">
        <v>155</v>
      </c>
      <c r="E46" s="82">
        <v>1</v>
      </c>
      <c r="F46" s="84" t="s">
        <v>218</v>
      </c>
      <c r="G46" s="84"/>
      <c r="H46" s="84" t="s">
        <v>223</v>
      </c>
      <c r="I46" s="85" t="s">
        <v>173</v>
      </c>
      <c r="J46" s="85" t="s">
        <v>228</v>
      </c>
    </row>
    <row r="47" spans="1:10" x14ac:dyDescent="0.5">
      <c r="A47" s="79"/>
      <c r="B47" s="80">
        <v>15</v>
      </c>
      <c r="C47" s="80" t="s">
        <v>90</v>
      </c>
      <c r="D47" s="81" t="s">
        <v>155</v>
      </c>
      <c r="E47" s="82" t="s">
        <v>152</v>
      </c>
      <c r="F47" s="83" t="s">
        <v>218</v>
      </c>
      <c r="G47" s="84" t="s">
        <v>210</v>
      </c>
      <c r="H47" s="83"/>
      <c r="I47" s="85" t="s">
        <v>221</v>
      </c>
      <c r="J47" s="81" t="s">
        <v>229</v>
      </c>
    </row>
    <row r="48" spans="1:10" x14ac:dyDescent="0.5">
      <c r="A48" s="79"/>
      <c r="B48" s="80">
        <v>30</v>
      </c>
      <c r="C48" s="80" t="s">
        <v>126</v>
      </c>
      <c r="D48" s="85" t="s">
        <v>155</v>
      </c>
      <c r="E48" s="82">
        <v>1</v>
      </c>
      <c r="F48" s="84" t="s">
        <v>218</v>
      </c>
      <c r="G48" s="84"/>
      <c r="H48" s="84" t="s">
        <v>220</v>
      </c>
      <c r="I48" s="85" t="s">
        <v>221</v>
      </c>
      <c r="J48" s="85" t="s">
        <v>230</v>
      </c>
    </row>
    <row r="49" spans="1:10" x14ac:dyDescent="0.5">
      <c r="A49" s="86"/>
      <c r="B49" s="81"/>
      <c r="C49" s="89"/>
      <c r="D49" s="81"/>
      <c r="E49" s="85"/>
      <c r="F49" s="81"/>
      <c r="G49" s="85"/>
      <c r="H49" s="81"/>
      <c r="I49" s="85"/>
      <c r="J49" s="81"/>
    </row>
    <row r="50" spans="1:10" x14ac:dyDescent="0.5">
      <c r="A50" s="79" t="s">
        <v>146</v>
      </c>
      <c r="B50" s="80">
        <v>1</v>
      </c>
      <c r="C50" s="80" t="s">
        <v>132</v>
      </c>
      <c r="D50" s="85" t="s">
        <v>155</v>
      </c>
      <c r="E50" s="82" t="s">
        <v>152</v>
      </c>
      <c r="F50" s="84" t="s">
        <v>186</v>
      </c>
      <c r="G50" s="84" t="s">
        <v>208</v>
      </c>
      <c r="H50" s="84" t="s">
        <v>160</v>
      </c>
      <c r="I50" s="85" t="s">
        <v>220</v>
      </c>
      <c r="J50" s="85" t="s">
        <v>231</v>
      </c>
    </row>
    <row r="51" spans="1:10" x14ac:dyDescent="0.5">
      <c r="A51" s="79"/>
      <c r="B51" s="80">
        <v>4</v>
      </c>
      <c r="C51" s="80" t="s">
        <v>133</v>
      </c>
      <c r="D51" s="81" t="s">
        <v>155</v>
      </c>
      <c r="E51" s="82"/>
      <c r="F51" s="83" t="s">
        <v>182</v>
      </c>
      <c r="G51" s="84"/>
      <c r="H51" s="83" t="s">
        <v>236</v>
      </c>
      <c r="I51" s="85" t="s">
        <v>173</v>
      </c>
      <c r="J51" s="81" t="s">
        <v>232</v>
      </c>
    </row>
    <row r="52" spans="1:10" x14ac:dyDescent="0.5">
      <c r="A52" s="79"/>
      <c r="B52" s="80">
        <v>7</v>
      </c>
      <c r="C52" s="80" t="s">
        <v>128</v>
      </c>
      <c r="D52" s="85" t="s">
        <v>155</v>
      </c>
      <c r="E52" s="82"/>
      <c r="F52" s="84" t="s">
        <v>182</v>
      </c>
      <c r="G52" s="84"/>
      <c r="H52" s="84"/>
      <c r="I52" s="85" t="s">
        <v>233</v>
      </c>
      <c r="J52" s="85" t="s">
        <v>215</v>
      </c>
    </row>
    <row r="53" spans="1:10" x14ac:dyDescent="0.5">
      <c r="A53" s="79"/>
      <c r="B53" s="80">
        <v>10</v>
      </c>
      <c r="C53" s="80" t="s">
        <v>134</v>
      </c>
      <c r="D53" s="81" t="s">
        <v>155</v>
      </c>
      <c r="E53" s="82"/>
      <c r="F53" s="83" t="s">
        <v>182</v>
      </c>
      <c r="G53" s="84"/>
      <c r="H53" s="83"/>
      <c r="I53" s="85" t="s">
        <v>173</v>
      </c>
      <c r="J53" s="81" t="s">
        <v>234</v>
      </c>
    </row>
    <row r="54" spans="1:10" x14ac:dyDescent="0.5">
      <c r="A54" s="79"/>
      <c r="B54" s="80">
        <v>20</v>
      </c>
      <c r="C54" s="80" t="s">
        <v>135</v>
      </c>
      <c r="D54" s="85" t="s">
        <v>155</v>
      </c>
      <c r="E54" s="82"/>
      <c r="F54" s="84" t="s">
        <v>182</v>
      </c>
      <c r="G54" s="84"/>
      <c r="H54" s="84"/>
      <c r="I54" s="85" t="s">
        <v>173</v>
      </c>
      <c r="J54" s="85" t="s">
        <v>235</v>
      </c>
    </row>
    <row r="55" spans="1:10" x14ac:dyDescent="0.5">
      <c r="A55" s="86"/>
      <c r="B55" s="81"/>
      <c r="C55" s="89"/>
      <c r="D55" s="81"/>
      <c r="E55" s="85"/>
      <c r="F55" s="81"/>
      <c r="G55" s="85"/>
      <c r="H55" s="81"/>
      <c r="I55" s="85"/>
      <c r="J55" s="81"/>
    </row>
    <row r="56" spans="1:10" x14ac:dyDescent="0.5">
      <c r="A56" s="79" t="s">
        <v>147</v>
      </c>
      <c r="B56" s="80">
        <v>1</v>
      </c>
      <c r="C56" s="80" t="s">
        <v>131</v>
      </c>
      <c r="D56" s="85" t="s">
        <v>186</v>
      </c>
      <c r="E56" s="82"/>
      <c r="F56" s="84"/>
      <c r="G56" s="84" t="s">
        <v>236</v>
      </c>
      <c r="H56" s="84" t="s">
        <v>220</v>
      </c>
      <c r="I56" s="85" t="s">
        <v>236</v>
      </c>
      <c r="J56" s="85" t="s">
        <v>237</v>
      </c>
    </row>
    <row r="57" spans="1:10" x14ac:dyDescent="0.5">
      <c r="A57" s="79"/>
      <c r="B57" s="80">
        <v>4</v>
      </c>
      <c r="C57" s="80" t="s">
        <v>136</v>
      </c>
      <c r="D57" s="81" t="s">
        <v>186</v>
      </c>
      <c r="E57" s="82"/>
      <c r="F57" s="83"/>
      <c r="G57" s="84"/>
      <c r="H57" s="83" t="s">
        <v>220</v>
      </c>
      <c r="I57" s="85" t="s">
        <v>173</v>
      </c>
      <c r="J57" s="81" t="s">
        <v>238</v>
      </c>
    </row>
    <row r="58" spans="1:10" x14ac:dyDescent="0.5">
      <c r="A58" s="79"/>
      <c r="B58" s="80">
        <v>7</v>
      </c>
      <c r="C58" s="80" t="s">
        <v>137</v>
      </c>
      <c r="D58" s="85" t="s">
        <v>186</v>
      </c>
      <c r="E58" s="82"/>
      <c r="F58" s="84"/>
      <c r="G58" s="84"/>
      <c r="H58" s="84" t="s">
        <v>220</v>
      </c>
      <c r="I58" s="85" t="s">
        <v>236</v>
      </c>
      <c r="J58" s="85" t="s">
        <v>239</v>
      </c>
    </row>
    <row r="59" spans="1:10" x14ac:dyDescent="0.5">
      <c r="A59" s="79"/>
      <c r="B59" s="80">
        <v>10</v>
      </c>
      <c r="C59" s="80" t="s">
        <v>138</v>
      </c>
      <c r="D59" s="81" t="s">
        <v>186</v>
      </c>
      <c r="E59" s="82"/>
      <c r="F59" s="83"/>
      <c r="G59" s="84"/>
      <c r="H59" s="83" t="s">
        <v>240</v>
      </c>
      <c r="I59" s="85" t="s">
        <v>173</v>
      </c>
      <c r="J59" s="81" t="s">
        <v>241</v>
      </c>
    </row>
    <row r="60" spans="1:10" x14ac:dyDescent="0.5">
      <c r="A60" s="79"/>
      <c r="B60" s="80">
        <v>20</v>
      </c>
      <c r="C60" s="80" t="s">
        <v>139</v>
      </c>
      <c r="D60" s="85" t="s">
        <v>186</v>
      </c>
      <c r="E60" s="82"/>
      <c r="F60" s="84"/>
      <c r="G60" s="84" t="s">
        <v>244</v>
      </c>
      <c r="H60" s="84"/>
      <c r="I60" s="85" t="s">
        <v>242</v>
      </c>
      <c r="J60" s="85" t="s">
        <v>243</v>
      </c>
    </row>
    <row r="61" spans="1:10" x14ac:dyDescent="0.5">
      <c r="A61" s="86"/>
      <c r="B61" s="81"/>
      <c r="C61" s="89"/>
      <c r="D61" s="81"/>
      <c r="E61" s="85"/>
      <c r="F61" s="81"/>
      <c r="G61" s="85"/>
      <c r="H61" s="81"/>
      <c r="I61" s="85"/>
      <c r="J61" s="81"/>
    </row>
    <row r="62" spans="1:10" x14ac:dyDescent="0.5">
      <c r="A62" s="79" t="s">
        <v>245</v>
      </c>
      <c r="B62" s="80">
        <v>1</v>
      </c>
      <c r="C62" s="80" t="s">
        <v>91</v>
      </c>
      <c r="D62" s="85" t="s">
        <v>186</v>
      </c>
      <c r="E62" s="82" t="s">
        <v>152</v>
      </c>
      <c r="F62" s="84"/>
      <c r="G62" s="84" t="s">
        <v>236</v>
      </c>
      <c r="H62" s="84" t="s">
        <v>246</v>
      </c>
      <c r="I62" s="85" t="s">
        <v>573</v>
      </c>
      <c r="J62" s="85" t="s">
        <v>247</v>
      </c>
    </row>
    <row r="63" spans="1:10" x14ac:dyDescent="0.5">
      <c r="A63" s="79"/>
      <c r="B63" s="80">
        <v>3</v>
      </c>
      <c r="C63" s="80" t="s">
        <v>92</v>
      </c>
      <c r="D63" s="81" t="s">
        <v>186</v>
      </c>
      <c r="E63" s="82" t="s">
        <v>152</v>
      </c>
      <c r="F63" s="83"/>
      <c r="G63" s="84" t="s">
        <v>236</v>
      </c>
      <c r="H63" s="83" t="s">
        <v>246</v>
      </c>
      <c r="I63" s="85" t="s">
        <v>573</v>
      </c>
      <c r="J63" s="81" t="s">
        <v>248</v>
      </c>
    </row>
    <row r="64" spans="1:10" x14ac:dyDescent="0.5">
      <c r="A64" s="79"/>
      <c r="B64" s="80">
        <v>5</v>
      </c>
      <c r="C64" s="80" t="s">
        <v>141</v>
      </c>
      <c r="D64" s="85" t="s">
        <v>186</v>
      </c>
      <c r="E64" s="82" t="s">
        <v>152</v>
      </c>
      <c r="F64" s="84"/>
      <c r="G64" s="84" t="s">
        <v>236</v>
      </c>
      <c r="H64" s="84" t="s">
        <v>246</v>
      </c>
      <c r="I64" s="85" t="s">
        <v>252</v>
      </c>
      <c r="J64" s="85" t="s">
        <v>249</v>
      </c>
    </row>
    <row r="65" spans="1:10" x14ac:dyDescent="0.5">
      <c r="A65" s="79"/>
      <c r="B65" s="80">
        <v>7</v>
      </c>
      <c r="C65" s="80" t="s">
        <v>142</v>
      </c>
      <c r="D65" s="81" t="s">
        <v>186</v>
      </c>
      <c r="E65" s="82" t="s">
        <v>152</v>
      </c>
      <c r="F65" s="83"/>
      <c r="G65" s="84" t="s">
        <v>236</v>
      </c>
      <c r="H65" s="83"/>
      <c r="I65" s="85" t="s">
        <v>252</v>
      </c>
      <c r="J65" s="81" t="s">
        <v>250</v>
      </c>
    </row>
    <row r="66" spans="1:10" x14ac:dyDescent="0.5">
      <c r="A66" s="79"/>
      <c r="B66" s="80">
        <v>9</v>
      </c>
      <c r="C66" s="80" t="s">
        <v>143</v>
      </c>
      <c r="D66" s="85" t="s">
        <v>186</v>
      </c>
      <c r="E66" s="82" t="s">
        <v>152</v>
      </c>
      <c r="F66" s="84"/>
      <c r="G66" s="84" t="s">
        <v>236</v>
      </c>
      <c r="H66" s="84"/>
      <c r="I66" s="85" t="s">
        <v>252</v>
      </c>
      <c r="J66" s="85" t="s">
        <v>251</v>
      </c>
    </row>
    <row r="67" spans="1:10" x14ac:dyDescent="0.5">
      <c r="A67" s="79"/>
      <c r="B67" s="80">
        <v>12</v>
      </c>
      <c r="C67" s="80" t="s">
        <v>144</v>
      </c>
      <c r="D67" s="81" t="s">
        <v>186</v>
      </c>
      <c r="E67" s="82" t="s">
        <v>152</v>
      </c>
      <c r="F67" s="83"/>
      <c r="G67" s="84" t="s">
        <v>236</v>
      </c>
      <c r="H67" s="83"/>
      <c r="I67" s="85" t="s">
        <v>252</v>
      </c>
      <c r="J67" s="81" t="s">
        <v>253</v>
      </c>
    </row>
    <row r="68" spans="1:10" x14ac:dyDescent="0.5">
      <c r="A68" s="79"/>
      <c r="B68" s="80">
        <v>30</v>
      </c>
      <c r="C68" s="80" t="s">
        <v>89</v>
      </c>
      <c r="D68" s="85" t="s">
        <v>186</v>
      </c>
      <c r="E68" s="82" t="s">
        <v>152</v>
      </c>
      <c r="F68" s="84"/>
      <c r="G68" s="84" t="s">
        <v>236</v>
      </c>
      <c r="H68" s="84" t="s">
        <v>246</v>
      </c>
      <c r="I68" s="85" t="s">
        <v>252</v>
      </c>
      <c r="J68" s="85" t="s">
        <v>254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D8689-04D1-4B49-99E2-9FB9A287FD2D}">
  <sheetPr codeName="Sheet6"/>
  <dimension ref="A1:L47"/>
  <sheetViews>
    <sheetView zoomScaleNormal="80" zoomScaleSheetLayoutView="100" workbookViewId="0">
      <selection activeCell="F8" sqref="F8"/>
    </sheetView>
  </sheetViews>
  <sheetFormatPr defaultRowHeight="14.1" x14ac:dyDescent="0.5"/>
  <cols>
    <col min="1" max="1" width="11.44140625" customWidth="1"/>
    <col min="2" max="2" width="13.77734375" customWidth="1"/>
    <col min="3" max="3" width="12.88671875" customWidth="1"/>
    <col min="4" max="4" width="10.21875" customWidth="1"/>
    <col min="5" max="5" width="10.88671875" customWidth="1"/>
    <col min="6" max="6" width="11.21875" customWidth="1"/>
    <col min="7" max="7" width="10.44140625" customWidth="1"/>
    <col min="8" max="8" width="3" customWidth="1"/>
    <col min="9" max="9" width="11.21875" customWidth="1"/>
    <col min="11" max="11" width="7.44140625" customWidth="1"/>
  </cols>
  <sheetData>
    <row r="1" spans="1:12" x14ac:dyDescent="0.5">
      <c r="A1" s="5" t="s">
        <v>302</v>
      </c>
      <c r="I1" s="5" t="s">
        <v>282</v>
      </c>
    </row>
    <row r="2" spans="1:12" ht="14.4" thickBot="1" x14ac:dyDescent="0.55000000000000004">
      <c r="A2" s="106" t="s">
        <v>355</v>
      </c>
      <c r="B2" s="107" t="s">
        <v>39</v>
      </c>
      <c r="C2" s="107" t="s">
        <v>275</v>
      </c>
      <c r="D2" s="107" t="s">
        <v>276</v>
      </c>
      <c r="E2" s="107" t="s">
        <v>277</v>
      </c>
      <c r="F2" s="107" t="s">
        <v>44</v>
      </c>
      <c r="G2" s="107" t="s">
        <v>45</v>
      </c>
      <c r="I2" s="99" t="s">
        <v>283</v>
      </c>
      <c r="J2" s="100" t="s">
        <v>286</v>
      </c>
      <c r="L2" s="1"/>
    </row>
    <row r="3" spans="1:12" ht="14.4" thickTop="1" x14ac:dyDescent="0.5">
      <c r="A3" s="108" t="s">
        <v>267</v>
      </c>
      <c r="B3" s="109">
        <v>10</v>
      </c>
      <c r="C3" s="109">
        <v>5</v>
      </c>
      <c r="D3" s="109">
        <v>0</v>
      </c>
      <c r="E3" s="109">
        <v>0</v>
      </c>
      <c r="F3" s="109">
        <v>-10</v>
      </c>
      <c r="G3" s="109">
        <v>-20</v>
      </c>
      <c r="I3" s="101" t="s">
        <v>163</v>
      </c>
      <c r="J3" s="102" t="s">
        <v>298</v>
      </c>
      <c r="L3" s="1"/>
    </row>
    <row r="4" spans="1:12" x14ac:dyDescent="0.5">
      <c r="A4" s="110" t="s">
        <v>268</v>
      </c>
      <c r="B4" s="91">
        <v>4</v>
      </c>
      <c r="C4" s="91">
        <v>10</v>
      </c>
      <c r="D4" s="91">
        <v>10</v>
      </c>
      <c r="E4" s="91">
        <v>0</v>
      </c>
      <c r="F4" s="91">
        <v>0</v>
      </c>
      <c r="G4" s="91">
        <v>-10</v>
      </c>
      <c r="I4" s="103" t="s">
        <v>285</v>
      </c>
      <c r="J4" s="92" t="s">
        <v>357</v>
      </c>
      <c r="L4" s="1"/>
    </row>
    <row r="5" spans="1:12" x14ac:dyDescent="0.5">
      <c r="A5" s="110" t="s">
        <v>269</v>
      </c>
      <c r="B5" s="111">
        <v>0</v>
      </c>
      <c r="C5" s="111">
        <v>0</v>
      </c>
      <c r="D5" s="111">
        <v>0</v>
      </c>
      <c r="E5" s="111">
        <v>0</v>
      </c>
      <c r="F5" s="111">
        <v>-5</v>
      </c>
      <c r="G5" s="111">
        <v>5</v>
      </c>
      <c r="I5" s="104" t="s">
        <v>163</v>
      </c>
      <c r="J5" s="105" t="s">
        <v>298</v>
      </c>
      <c r="L5" s="1"/>
    </row>
    <row r="6" spans="1:12" x14ac:dyDescent="0.5">
      <c r="A6" s="110" t="s">
        <v>270</v>
      </c>
      <c r="B6" s="91">
        <v>0</v>
      </c>
      <c r="C6" s="91">
        <v>0</v>
      </c>
      <c r="D6" s="91">
        <v>0</v>
      </c>
      <c r="E6" s="91">
        <v>0</v>
      </c>
      <c r="F6" s="91">
        <v>0</v>
      </c>
      <c r="G6" s="91">
        <v>10</v>
      </c>
      <c r="I6" s="103" t="s">
        <v>285</v>
      </c>
      <c r="J6" s="92" t="s">
        <v>357</v>
      </c>
      <c r="L6" s="1"/>
    </row>
    <row r="7" spans="1:12" x14ac:dyDescent="0.5">
      <c r="A7" s="110" t="s">
        <v>272</v>
      </c>
      <c r="B7" s="111">
        <v>5</v>
      </c>
      <c r="C7" s="111">
        <v>0</v>
      </c>
      <c r="D7" s="111">
        <v>0</v>
      </c>
      <c r="E7" s="111">
        <v>0</v>
      </c>
      <c r="F7" s="111">
        <v>0</v>
      </c>
      <c r="G7" s="111">
        <v>-20</v>
      </c>
      <c r="I7" s="104" t="s">
        <v>162</v>
      </c>
      <c r="J7" s="105">
        <v>4</v>
      </c>
      <c r="L7" s="1"/>
    </row>
    <row r="8" spans="1:12" x14ac:dyDescent="0.5">
      <c r="A8" s="110" t="s">
        <v>271</v>
      </c>
      <c r="B8" s="91">
        <v>15</v>
      </c>
      <c r="C8" s="91">
        <v>10</v>
      </c>
      <c r="D8" s="91">
        <v>5</v>
      </c>
      <c r="E8" s="91">
        <v>0</v>
      </c>
      <c r="F8" s="91">
        <v>0</v>
      </c>
      <c r="G8" s="91">
        <v>-10</v>
      </c>
      <c r="I8" s="103" t="s">
        <v>164</v>
      </c>
      <c r="J8" s="92" t="s">
        <v>297</v>
      </c>
      <c r="L8" s="1"/>
    </row>
    <row r="9" spans="1:12" x14ac:dyDescent="0.5">
      <c r="A9" s="110" t="s">
        <v>273</v>
      </c>
      <c r="B9" s="111">
        <v>10</v>
      </c>
      <c r="C9" s="111">
        <v>5</v>
      </c>
      <c r="D9" s="111">
        <v>0</v>
      </c>
      <c r="E9" s="111">
        <v>0</v>
      </c>
      <c r="F9" s="111">
        <v>0</v>
      </c>
      <c r="G9" s="111">
        <v>-15</v>
      </c>
      <c r="I9" s="104" t="s">
        <v>163</v>
      </c>
      <c r="J9" s="105">
        <v>6</v>
      </c>
      <c r="L9" s="1"/>
    </row>
    <row r="10" spans="1:12" x14ac:dyDescent="0.5">
      <c r="A10" s="110" t="s">
        <v>274</v>
      </c>
      <c r="B10" s="91">
        <v>20</v>
      </c>
      <c r="C10" s="91">
        <v>15</v>
      </c>
      <c r="D10" s="91">
        <v>5</v>
      </c>
      <c r="E10" s="91">
        <v>0</v>
      </c>
      <c r="F10" s="91">
        <v>0</v>
      </c>
      <c r="G10" s="91">
        <v>-5</v>
      </c>
      <c r="I10" s="103" t="s">
        <v>160</v>
      </c>
      <c r="J10" s="92" t="s">
        <v>358</v>
      </c>
      <c r="L10" s="1"/>
    </row>
    <row r="11" spans="1:12" x14ac:dyDescent="0.5">
      <c r="A11" s="106" t="s">
        <v>496</v>
      </c>
      <c r="B11" s="153">
        <v>0</v>
      </c>
      <c r="C11" s="153">
        <v>0</v>
      </c>
      <c r="D11" s="153">
        <v>-5</v>
      </c>
      <c r="E11" s="153">
        <v>-5</v>
      </c>
      <c r="F11" s="153">
        <v>-10</v>
      </c>
      <c r="G11" s="153">
        <v>-15</v>
      </c>
      <c r="I11" s="154" t="s">
        <v>162</v>
      </c>
      <c r="J11" s="154" t="s">
        <v>39</v>
      </c>
      <c r="L11" s="1"/>
    </row>
    <row r="12" spans="1:12" x14ac:dyDescent="0.5">
      <c r="J12" s="1"/>
      <c r="K12" s="1"/>
      <c r="L12" s="1"/>
    </row>
    <row r="13" spans="1:12" x14ac:dyDescent="0.5">
      <c r="A13" s="5" t="s">
        <v>278</v>
      </c>
    </row>
    <row r="14" spans="1:12" ht="14.4" thickBot="1" x14ac:dyDescent="0.55000000000000004">
      <c r="A14" s="93" t="s">
        <v>355</v>
      </c>
      <c r="B14" s="94" t="s">
        <v>39</v>
      </c>
      <c r="C14" s="94" t="s">
        <v>275</v>
      </c>
      <c r="D14" s="94" t="s">
        <v>276</v>
      </c>
      <c r="E14" s="94" t="s">
        <v>277</v>
      </c>
      <c r="F14" s="94" t="s">
        <v>44</v>
      </c>
      <c r="G14" s="94" t="s">
        <v>45</v>
      </c>
    </row>
    <row r="15" spans="1:12" ht="14.4" thickTop="1" x14ac:dyDescent="0.5">
      <c r="A15" s="95" t="s">
        <v>267</v>
      </c>
      <c r="B15" s="96" t="s">
        <v>287</v>
      </c>
      <c r="C15" s="96" t="s">
        <v>279</v>
      </c>
      <c r="D15" s="96" t="s">
        <v>289</v>
      </c>
      <c r="E15" s="96" t="s">
        <v>289</v>
      </c>
      <c r="F15" s="96" t="s">
        <v>290</v>
      </c>
      <c r="G15" s="96" t="s">
        <v>291</v>
      </c>
    </row>
    <row r="16" spans="1:12" x14ac:dyDescent="0.5">
      <c r="A16" s="97" t="s">
        <v>268</v>
      </c>
      <c r="B16" s="90" t="s">
        <v>288</v>
      </c>
      <c r="C16" s="90" t="s">
        <v>287</v>
      </c>
      <c r="D16" s="90" t="s">
        <v>279</v>
      </c>
      <c r="E16" s="90" t="s">
        <v>287</v>
      </c>
      <c r="F16" s="90" t="s">
        <v>289</v>
      </c>
      <c r="G16" s="90" t="s">
        <v>290</v>
      </c>
    </row>
    <row r="17" spans="1:10" x14ac:dyDescent="0.5">
      <c r="A17" s="97" t="s">
        <v>269</v>
      </c>
      <c r="B17" s="98" t="s">
        <v>98</v>
      </c>
      <c r="C17" s="98" t="s">
        <v>98</v>
      </c>
      <c r="D17" s="98" t="s">
        <v>98</v>
      </c>
      <c r="E17" s="98" t="s">
        <v>98</v>
      </c>
      <c r="F17" s="98" t="s">
        <v>294</v>
      </c>
      <c r="G17" s="98" t="s">
        <v>98</v>
      </c>
    </row>
    <row r="18" spans="1:10" x14ac:dyDescent="0.5">
      <c r="A18" s="97" t="s">
        <v>270</v>
      </c>
      <c r="B18" s="90" t="s">
        <v>292</v>
      </c>
      <c r="C18" s="90" t="s">
        <v>292</v>
      </c>
      <c r="D18" s="90" t="s">
        <v>293</v>
      </c>
      <c r="E18" s="90" t="s">
        <v>98</v>
      </c>
      <c r="F18" s="90" t="s">
        <v>294</v>
      </c>
      <c r="G18" s="90" t="s">
        <v>98</v>
      </c>
    </row>
    <row r="19" spans="1:10" x14ac:dyDescent="0.5">
      <c r="A19" s="97" t="s">
        <v>272</v>
      </c>
      <c r="B19" s="98" t="s">
        <v>280</v>
      </c>
      <c r="C19" s="98" t="s">
        <v>280</v>
      </c>
      <c r="D19" s="98" t="s">
        <v>280</v>
      </c>
      <c r="E19" s="98" t="s">
        <v>280</v>
      </c>
      <c r="F19" s="98" t="s">
        <v>280</v>
      </c>
      <c r="G19" s="98" t="s">
        <v>296</v>
      </c>
    </row>
    <row r="20" spans="1:10" x14ac:dyDescent="0.5">
      <c r="A20" s="97" t="s">
        <v>271</v>
      </c>
      <c r="B20" s="90" t="s">
        <v>295</v>
      </c>
      <c r="C20" s="90" t="s">
        <v>295</v>
      </c>
      <c r="D20" s="90" t="s">
        <v>280</v>
      </c>
      <c r="E20" s="90" t="s">
        <v>280</v>
      </c>
      <c r="F20" s="90" t="s">
        <v>280</v>
      </c>
      <c r="G20" s="90" t="s">
        <v>280</v>
      </c>
    </row>
    <row r="21" spans="1:10" x14ac:dyDescent="0.5">
      <c r="A21" s="97" t="s">
        <v>273</v>
      </c>
      <c r="B21" s="98" t="s">
        <v>280</v>
      </c>
      <c r="C21" s="98" t="s">
        <v>281</v>
      </c>
      <c r="D21" s="98" t="s">
        <v>280</v>
      </c>
      <c r="E21" s="98" t="s">
        <v>280</v>
      </c>
      <c r="F21" s="98" t="s">
        <v>280</v>
      </c>
      <c r="G21" s="98" t="s">
        <v>296</v>
      </c>
    </row>
    <row r="22" spans="1:10" x14ac:dyDescent="0.5">
      <c r="A22" s="97" t="s">
        <v>274</v>
      </c>
      <c r="B22" s="90" t="s">
        <v>295</v>
      </c>
      <c r="C22" s="90" t="s">
        <v>295</v>
      </c>
      <c r="D22" s="90" t="s">
        <v>280</v>
      </c>
      <c r="E22" s="90" t="s">
        <v>280</v>
      </c>
      <c r="F22" s="90" t="s">
        <v>280</v>
      </c>
      <c r="G22" s="90" t="s">
        <v>280</v>
      </c>
    </row>
    <row r="24" spans="1:10" ht="14.4" thickBot="1" x14ac:dyDescent="0.55000000000000004">
      <c r="A24" s="373" t="s">
        <v>332</v>
      </c>
      <c r="B24" s="373"/>
      <c r="D24" s="112" t="s">
        <v>354</v>
      </c>
      <c r="E24" s="113" t="s">
        <v>279</v>
      </c>
      <c r="F24" s="113" t="s">
        <v>98</v>
      </c>
      <c r="G24" s="113" t="s">
        <v>280</v>
      </c>
      <c r="J24" s="1"/>
    </row>
    <row r="25" spans="1:10" ht="14.4" thickTop="1" x14ac:dyDescent="0.5">
      <c r="A25" s="16" t="s">
        <v>300</v>
      </c>
      <c r="B25" s="16" t="s">
        <v>334</v>
      </c>
      <c r="D25" s="114" t="s">
        <v>336</v>
      </c>
      <c r="E25" s="19">
        <v>0</v>
      </c>
      <c r="F25" s="19">
        <v>0</v>
      </c>
      <c r="G25" s="19">
        <v>0</v>
      </c>
      <c r="H25" s="4"/>
      <c r="J25" s="1"/>
    </row>
    <row r="26" spans="1:10" x14ac:dyDescent="0.5">
      <c r="A26" s="16" t="s">
        <v>300</v>
      </c>
      <c r="B26" s="16" t="s">
        <v>333</v>
      </c>
      <c r="D26" s="115">
        <v>-3</v>
      </c>
      <c r="E26" s="17" t="s">
        <v>315</v>
      </c>
      <c r="F26" s="17" t="s">
        <v>315</v>
      </c>
      <c r="G26" s="17" t="s">
        <v>315</v>
      </c>
      <c r="H26" s="4"/>
      <c r="J26" s="1"/>
    </row>
    <row r="27" spans="1:10" x14ac:dyDescent="0.5">
      <c r="A27" s="16" t="s">
        <v>301</v>
      </c>
      <c r="B27" s="16" t="s">
        <v>335</v>
      </c>
      <c r="D27" s="115">
        <v>-2</v>
      </c>
      <c r="E27" s="20" t="s">
        <v>316</v>
      </c>
      <c r="F27" s="20" t="s">
        <v>316</v>
      </c>
      <c r="G27" s="20" t="s">
        <v>316</v>
      </c>
      <c r="H27" s="4"/>
      <c r="J27" s="1"/>
    </row>
    <row r="28" spans="1:10" x14ac:dyDescent="0.5">
      <c r="D28" s="115">
        <v>-1</v>
      </c>
      <c r="E28" s="17" t="s">
        <v>317</v>
      </c>
      <c r="F28" s="17" t="s">
        <v>322</v>
      </c>
      <c r="G28" s="17" t="s">
        <v>318</v>
      </c>
      <c r="H28" s="4"/>
      <c r="J28" s="1"/>
    </row>
    <row r="29" spans="1:10" x14ac:dyDescent="0.5">
      <c r="D29" s="115">
        <v>0</v>
      </c>
      <c r="E29" s="20" t="s">
        <v>326</v>
      </c>
      <c r="F29" s="20" t="s">
        <v>323</v>
      </c>
      <c r="G29" s="20" t="s">
        <v>319</v>
      </c>
      <c r="H29" s="4"/>
      <c r="J29" s="1"/>
    </row>
    <row r="30" spans="1:10" x14ac:dyDescent="0.5">
      <c r="A30" s="373" t="s">
        <v>352</v>
      </c>
      <c r="B30" s="373"/>
      <c r="D30" s="115">
        <v>1</v>
      </c>
      <c r="E30" s="17" t="s">
        <v>320</v>
      </c>
      <c r="F30" s="17" t="s">
        <v>324</v>
      </c>
      <c r="G30" s="17" t="s">
        <v>327</v>
      </c>
      <c r="H30" s="4"/>
      <c r="J30" s="1"/>
    </row>
    <row r="31" spans="1:10" x14ac:dyDescent="0.5">
      <c r="A31" s="16" t="s">
        <v>300</v>
      </c>
      <c r="B31" s="16" t="s">
        <v>335</v>
      </c>
      <c r="D31" s="115">
        <v>2</v>
      </c>
      <c r="E31" s="20" t="s">
        <v>321</v>
      </c>
      <c r="F31" s="20" t="s">
        <v>325</v>
      </c>
      <c r="G31" s="20" t="s">
        <v>328</v>
      </c>
      <c r="H31" s="4"/>
      <c r="J31" s="1"/>
    </row>
    <row r="32" spans="1:10" x14ac:dyDescent="0.5">
      <c r="A32" s="16" t="s">
        <v>353</v>
      </c>
      <c r="B32" s="16" t="s">
        <v>333</v>
      </c>
      <c r="D32" s="115">
        <v>3</v>
      </c>
      <c r="E32" s="17" t="s">
        <v>338</v>
      </c>
      <c r="F32" s="17" t="s">
        <v>331</v>
      </c>
      <c r="G32" s="17" t="s">
        <v>329</v>
      </c>
      <c r="H32" s="4"/>
    </row>
    <row r="33" spans="1:12" x14ac:dyDescent="0.5">
      <c r="A33" s="16" t="s">
        <v>301</v>
      </c>
      <c r="B33" s="16" t="s">
        <v>334</v>
      </c>
      <c r="D33" s="115">
        <v>4</v>
      </c>
      <c r="E33" s="20" t="s">
        <v>330</v>
      </c>
      <c r="F33" s="20" t="s">
        <v>340</v>
      </c>
      <c r="G33" s="20" t="s">
        <v>330</v>
      </c>
      <c r="H33" s="4"/>
      <c r="J33" s="1"/>
      <c r="K33" s="1"/>
      <c r="L33" s="1"/>
    </row>
    <row r="34" spans="1:12" x14ac:dyDescent="0.5">
      <c r="D34" s="115" t="s">
        <v>337</v>
      </c>
      <c r="E34" s="17" t="s">
        <v>339</v>
      </c>
      <c r="F34" s="17" t="s">
        <v>377</v>
      </c>
      <c r="G34" s="17" t="s">
        <v>339</v>
      </c>
      <c r="H34" s="4"/>
      <c r="J34" s="1"/>
      <c r="K34" s="1"/>
      <c r="L34" s="1"/>
    </row>
    <row r="36" spans="1:12" x14ac:dyDescent="0.5">
      <c r="A36" s="5" t="s">
        <v>299</v>
      </c>
      <c r="E36" s="5" t="s">
        <v>341</v>
      </c>
    </row>
    <row r="37" spans="1:12" x14ac:dyDescent="0.5">
      <c r="A37" t="s">
        <v>300</v>
      </c>
      <c r="B37" s="16" t="s">
        <v>307</v>
      </c>
      <c r="C37" s="16"/>
      <c r="E37" t="s">
        <v>409</v>
      </c>
      <c r="F37" t="s">
        <v>284</v>
      </c>
    </row>
    <row r="38" spans="1:12" x14ac:dyDescent="0.5">
      <c r="A38" t="s">
        <v>300</v>
      </c>
      <c r="B38" s="16" t="s">
        <v>302</v>
      </c>
      <c r="C38" s="16"/>
      <c r="E38" s="3" t="s">
        <v>342</v>
      </c>
      <c r="F38" t="s">
        <v>344</v>
      </c>
    </row>
    <row r="39" spans="1:12" x14ac:dyDescent="0.5">
      <c r="A39" t="s">
        <v>300</v>
      </c>
      <c r="B39" s="16" t="s">
        <v>303</v>
      </c>
      <c r="C39" s="16"/>
      <c r="E39" t="s">
        <v>345</v>
      </c>
      <c r="F39" t="s">
        <v>346</v>
      </c>
    </row>
    <row r="40" spans="1:12" x14ac:dyDescent="0.5">
      <c r="A40" t="s">
        <v>300</v>
      </c>
      <c r="B40" s="16" t="s">
        <v>308</v>
      </c>
      <c r="C40" s="16"/>
      <c r="E40" t="s">
        <v>347</v>
      </c>
      <c r="F40" t="s">
        <v>348</v>
      </c>
    </row>
    <row r="41" spans="1:12" x14ac:dyDescent="0.5">
      <c r="A41" t="s">
        <v>300</v>
      </c>
      <c r="B41" s="16" t="s">
        <v>309</v>
      </c>
      <c r="C41" s="16"/>
      <c r="E41" t="s">
        <v>349</v>
      </c>
      <c r="F41" t="s">
        <v>350</v>
      </c>
    </row>
    <row r="42" spans="1:12" x14ac:dyDescent="0.5">
      <c r="A42" t="s">
        <v>300</v>
      </c>
      <c r="B42" s="16" t="s">
        <v>310</v>
      </c>
      <c r="C42" s="16"/>
      <c r="E42" t="s">
        <v>410</v>
      </c>
      <c r="F42" t="s">
        <v>351</v>
      </c>
    </row>
    <row r="43" spans="1:12" x14ac:dyDescent="0.5">
      <c r="A43" t="s">
        <v>300</v>
      </c>
      <c r="B43" s="16" t="s">
        <v>311</v>
      </c>
      <c r="C43" s="16"/>
    </row>
    <row r="44" spans="1:12" x14ac:dyDescent="0.5">
      <c r="A44" t="s">
        <v>300</v>
      </c>
      <c r="B44" s="16" t="s">
        <v>314</v>
      </c>
      <c r="C44" s="16"/>
    </row>
    <row r="45" spans="1:12" x14ac:dyDescent="0.5">
      <c r="A45" t="s">
        <v>301</v>
      </c>
      <c r="B45" s="16" t="s">
        <v>312</v>
      </c>
      <c r="C45" s="16"/>
    </row>
    <row r="46" spans="1:12" x14ac:dyDescent="0.5">
      <c r="A46" t="s">
        <v>301</v>
      </c>
      <c r="B46" s="16" t="s">
        <v>304</v>
      </c>
      <c r="C46" s="16"/>
    </row>
    <row r="47" spans="1:12" x14ac:dyDescent="0.5">
      <c r="A47" t="s">
        <v>301</v>
      </c>
      <c r="B47" s="16" t="s">
        <v>313</v>
      </c>
      <c r="C47" s="16"/>
    </row>
  </sheetData>
  <mergeCells count="2">
    <mergeCell ref="A24:B24"/>
    <mergeCell ref="A30:B30"/>
  </mergeCells>
  <pageMargins left="0.7" right="0.7" top="0.75" bottom="0.75" header="0.3" footer="0.3"/>
  <pageSetup orientation="portrait" horizontalDpi="0" verticalDpi="0" r:id="rId1"/>
  <tableParts count="4">
    <tablePart r:id="rId2"/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F53F2-D651-A84E-B4A3-995390894E57}">
  <sheetPr codeName="Sheet7"/>
  <dimension ref="A1:H33"/>
  <sheetViews>
    <sheetView topLeftCell="A7" zoomScaleNormal="80" zoomScaleSheetLayoutView="100" workbookViewId="0">
      <selection activeCell="E24" sqref="E24"/>
    </sheetView>
  </sheetViews>
  <sheetFormatPr defaultRowHeight="14.1" x14ac:dyDescent="0.5"/>
  <cols>
    <col min="1" max="1" width="10.77734375" customWidth="1"/>
    <col min="2" max="2" width="23.44140625" customWidth="1"/>
    <col min="3" max="3" width="8.6640625" customWidth="1"/>
    <col min="4" max="4" width="10.88671875" customWidth="1"/>
    <col min="5" max="5" width="11.21875" customWidth="1"/>
    <col min="6" max="6" width="13.77734375" customWidth="1"/>
    <col min="7" max="7" width="12.88671875" customWidth="1"/>
    <col min="8" max="8" width="10.21875" customWidth="1"/>
  </cols>
  <sheetData>
    <row r="1" spans="1:7" x14ac:dyDescent="0.5">
      <c r="A1" s="5" t="s">
        <v>359</v>
      </c>
      <c r="B1" s="5"/>
      <c r="C1" s="5"/>
      <c r="D1" s="18" t="s">
        <v>371</v>
      </c>
      <c r="E1" s="18"/>
      <c r="F1" s="18"/>
      <c r="G1" s="18"/>
    </row>
    <row r="2" spans="1:7" ht="14.4" thickBot="1" x14ac:dyDescent="0.55000000000000004">
      <c r="A2" s="93" t="s">
        <v>38</v>
      </c>
      <c r="B2" s="94" t="s">
        <v>155</v>
      </c>
      <c r="C2" s="94" t="s">
        <v>360</v>
      </c>
      <c r="D2" s="94" t="s">
        <v>362</v>
      </c>
      <c r="E2" s="94" t="s">
        <v>363</v>
      </c>
      <c r="F2" s="94" t="s">
        <v>364</v>
      </c>
      <c r="G2" s="94" t="s">
        <v>361</v>
      </c>
    </row>
    <row r="3" spans="1:7" ht="14.4" thickTop="1" x14ac:dyDescent="0.5">
      <c r="A3" s="95" t="s">
        <v>39</v>
      </c>
      <c r="B3" s="96">
        <v>15</v>
      </c>
      <c r="C3" s="119">
        <v>10</v>
      </c>
      <c r="D3" s="119">
        <v>15</v>
      </c>
      <c r="E3" s="119">
        <v>15</v>
      </c>
      <c r="F3" s="119">
        <v>10</v>
      </c>
      <c r="G3" s="119">
        <v>15</v>
      </c>
    </row>
    <row r="4" spans="1:7" x14ac:dyDescent="0.5">
      <c r="A4" s="97" t="s">
        <v>275</v>
      </c>
      <c r="B4" s="90">
        <v>15</v>
      </c>
      <c r="C4" s="120">
        <v>10</v>
      </c>
      <c r="D4" s="120">
        <v>15</v>
      </c>
      <c r="E4" s="120">
        <v>10</v>
      </c>
      <c r="F4" s="120">
        <v>10</v>
      </c>
      <c r="G4" s="120">
        <v>15</v>
      </c>
    </row>
    <row r="5" spans="1:7" x14ac:dyDescent="0.5">
      <c r="A5" s="97" t="s">
        <v>42</v>
      </c>
      <c r="B5" s="98">
        <v>5</v>
      </c>
      <c r="C5" s="121">
        <v>0</v>
      </c>
      <c r="D5" s="121">
        <v>-5</v>
      </c>
      <c r="E5" s="121">
        <v>5</v>
      </c>
      <c r="F5" s="121">
        <v>0</v>
      </c>
      <c r="G5" s="121">
        <v>5</v>
      </c>
    </row>
    <row r="6" spans="1:7" x14ac:dyDescent="0.5">
      <c r="A6" s="97" t="s">
        <v>43</v>
      </c>
      <c r="B6" s="90">
        <v>5</v>
      </c>
      <c r="C6" s="120">
        <v>0</v>
      </c>
      <c r="D6" s="120">
        <v>-5</v>
      </c>
      <c r="E6" s="120">
        <v>5</v>
      </c>
      <c r="F6" s="120">
        <v>-5</v>
      </c>
      <c r="G6" s="120">
        <v>0</v>
      </c>
    </row>
    <row r="7" spans="1:7" x14ac:dyDescent="0.5">
      <c r="A7" s="97" t="s">
        <v>44</v>
      </c>
      <c r="B7" s="98">
        <v>0</v>
      </c>
      <c r="C7" s="121">
        <v>-5</v>
      </c>
      <c r="D7" s="121">
        <v>10</v>
      </c>
      <c r="E7" s="121">
        <v>15</v>
      </c>
      <c r="F7" s="121">
        <v>15</v>
      </c>
      <c r="G7" s="121">
        <v>0</v>
      </c>
    </row>
    <row r="8" spans="1:7" x14ac:dyDescent="0.5">
      <c r="A8" s="97" t="s">
        <v>45</v>
      </c>
      <c r="B8" s="90">
        <v>0</v>
      </c>
      <c r="C8" s="120">
        <v>-5</v>
      </c>
      <c r="D8" s="120">
        <v>10</v>
      </c>
      <c r="E8" s="120">
        <v>10</v>
      </c>
      <c r="F8" s="120">
        <v>15</v>
      </c>
      <c r="G8" s="120">
        <v>-5</v>
      </c>
    </row>
    <row r="9" spans="1:7" ht="3.75" customHeight="1" x14ac:dyDescent="0.5">
      <c r="A9" s="97"/>
      <c r="B9" s="98"/>
      <c r="C9" s="98"/>
      <c r="D9" s="98"/>
      <c r="E9" s="98"/>
      <c r="F9" s="98"/>
      <c r="G9" s="98"/>
    </row>
    <row r="10" spans="1:7" x14ac:dyDescent="0.5">
      <c r="A10" s="97" t="s">
        <v>46</v>
      </c>
      <c r="B10" s="90">
        <v>-5</v>
      </c>
      <c r="C10" s="90">
        <v>0</v>
      </c>
      <c r="D10" s="90">
        <v>0</v>
      </c>
      <c r="E10" s="90">
        <v>0</v>
      </c>
      <c r="F10" s="90">
        <v>5</v>
      </c>
      <c r="G10" s="90">
        <v>-5</v>
      </c>
    </row>
    <row r="11" spans="1:7" x14ac:dyDescent="0.5">
      <c r="A11" s="97" t="s">
        <v>47</v>
      </c>
      <c r="B11" s="98">
        <v>-10</v>
      </c>
      <c r="C11" s="98">
        <v>-5</v>
      </c>
      <c r="D11" s="98">
        <v>0</v>
      </c>
      <c r="E11" s="98">
        <v>0</v>
      </c>
      <c r="F11" s="98">
        <v>0</v>
      </c>
      <c r="G11" s="98">
        <v>-10</v>
      </c>
    </row>
    <row r="13" spans="1:7" x14ac:dyDescent="0.5">
      <c r="A13" s="373" t="s">
        <v>365</v>
      </c>
      <c r="B13" s="373"/>
      <c r="C13" s="373"/>
      <c r="D13" s="18" t="s">
        <v>372</v>
      </c>
      <c r="E13" s="18"/>
      <c r="F13" s="18"/>
      <c r="G13" s="18"/>
    </row>
    <row r="14" spans="1:7" x14ac:dyDescent="0.5">
      <c r="A14" t="s">
        <v>300</v>
      </c>
      <c r="B14" t="s">
        <v>359</v>
      </c>
      <c r="D14" s="53" t="s">
        <v>343</v>
      </c>
      <c r="E14" s="52" t="s">
        <v>356</v>
      </c>
    </row>
    <row r="15" spans="1:7" x14ac:dyDescent="0.5">
      <c r="A15" t="s">
        <v>300</v>
      </c>
      <c r="B15" t="s">
        <v>371</v>
      </c>
      <c r="D15" s="53" t="s">
        <v>409</v>
      </c>
      <c r="E15" s="58" t="s">
        <v>284</v>
      </c>
    </row>
    <row r="16" spans="1:7" x14ac:dyDescent="0.5">
      <c r="A16" t="s">
        <v>300</v>
      </c>
      <c r="B16" t="s">
        <v>366</v>
      </c>
      <c r="D16" s="53" t="s">
        <v>342</v>
      </c>
      <c r="E16" s="56" t="s">
        <v>344</v>
      </c>
    </row>
    <row r="17" spans="1:8" x14ac:dyDescent="0.5">
      <c r="A17" t="s">
        <v>300</v>
      </c>
      <c r="B17" t="s">
        <v>367</v>
      </c>
      <c r="D17" s="53" t="s">
        <v>345</v>
      </c>
      <c r="E17" s="58" t="s">
        <v>346</v>
      </c>
    </row>
    <row r="18" spans="1:8" x14ac:dyDescent="0.5">
      <c r="A18" t="s">
        <v>300</v>
      </c>
      <c r="B18" t="s">
        <v>370</v>
      </c>
      <c r="D18" s="53" t="s">
        <v>347</v>
      </c>
      <c r="E18" s="56" t="s">
        <v>348</v>
      </c>
    </row>
    <row r="19" spans="1:8" x14ac:dyDescent="0.5">
      <c r="A19" t="s">
        <v>301</v>
      </c>
      <c r="B19" t="s">
        <v>368</v>
      </c>
      <c r="D19" s="53" t="s">
        <v>349</v>
      </c>
      <c r="E19" s="58" t="s">
        <v>350</v>
      </c>
    </row>
    <row r="20" spans="1:8" x14ac:dyDescent="0.5">
      <c r="A20" t="s">
        <v>301</v>
      </c>
      <c r="B20" t="s">
        <v>369</v>
      </c>
      <c r="D20" s="27" t="s">
        <v>410</v>
      </c>
      <c r="E20" s="30" t="s">
        <v>351</v>
      </c>
    </row>
    <row r="23" spans="1:8" x14ac:dyDescent="0.5">
      <c r="A23" s="373" t="s">
        <v>332</v>
      </c>
      <c r="B23" s="373"/>
      <c r="D23" s="50" t="s">
        <v>354</v>
      </c>
      <c r="E23" s="51" t="s">
        <v>373</v>
      </c>
      <c r="F23" s="51" t="s">
        <v>364</v>
      </c>
      <c r="G23" s="51" t="s">
        <v>362</v>
      </c>
      <c r="H23" s="52" t="s">
        <v>361</v>
      </c>
    </row>
    <row r="24" spans="1:8" x14ac:dyDescent="0.5">
      <c r="A24" s="16" t="s">
        <v>300</v>
      </c>
      <c r="B24" s="16" t="s">
        <v>334</v>
      </c>
      <c r="D24" s="122" t="s">
        <v>336</v>
      </c>
      <c r="E24" s="123">
        <v>0</v>
      </c>
      <c r="F24" s="123">
        <v>0</v>
      </c>
      <c r="G24" s="123">
        <v>0</v>
      </c>
      <c r="H24" s="124">
        <v>0</v>
      </c>
    </row>
    <row r="25" spans="1:8" x14ac:dyDescent="0.5">
      <c r="A25" s="16" t="s">
        <v>300</v>
      </c>
      <c r="B25" s="16" t="s">
        <v>333</v>
      </c>
      <c r="D25" s="122">
        <v>-3</v>
      </c>
      <c r="E25" s="125" t="s">
        <v>315</v>
      </c>
      <c r="F25" s="125" t="s">
        <v>315</v>
      </c>
      <c r="G25" s="125" t="s">
        <v>315</v>
      </c>
      <c r="H25" s="126" t="s">
        <v>315</v>
      </c>
    </row>
    <row r="26" spans="1:8" x14ac:dyDescent="0.5">
      <c r="A26" s="16" t="s">
        <v>301</v>
      </c>
      <c r="B26" s="16" t="s">
        <v>335</v>
      </c>
      <c r="D26" s="122">
        <v>-2</v>
      </c>
      <c r="E26" s="123" t="s">
        <v>316</v>
      </c>
      <c r="F26" s="123" t="s">
        <v>316</v>
      </c>
      <c r="G26" s="123" t="s">
        <v>316</v>
      </c>
      <c r="H26" s="124" t="s">
        <v>316</v>
      </c>
    </row>
    <row r="27" spans="1:8" x14ac:dyDescent="0.5">
      <c r="D27" s="122">
        <v>-1</v>
      </c>
      <c r="E27" s="125" t="s">
        <v>317</v>
      </c>
      <c r="F27" s="125" t="s">
        <v>322</v>
      </c>
      <c r="G27" s="125" t="s">
        <v>318</v>
      </c>
      <c r="H27" s="126" t="s">
        <v>322</v>
      </c>
    </row>
    <row r="28" spans="1:8" x14ac:dyDescent="0.5">
      <c r="D28" s="122">
        <v>0</v>
      </c>
      <c r="E28" s="123" t="s">
        <v>326</v>
      </c>
      <c r="F28" s="123" t="s">
        <v>323</v>
      </c>
      <c r="G28" s="123" t="s">
        <v>319</v>
      </c>
      <c r="H28" s="124" t="s">
        <v>323</v>
      </c>
    </row>
    <row r="29" spans="1:8" x14ac:dyDescent="0.5">
      <c r="A29" s="373" t="s">
        <v>352</v>
      </c>
      <c r="B29" s="373"/>
      <c r="D29" s="122">
        <v>1</v>
      </c>
      <c r="E29" s="125" t="s">
        <v>320</v>
      </c>
      <c r="F29" s="125" t="s">
        <v>324</v>
      </c>
      <c r="G29" s="125" t="s">
        <v>327</v>
      </c>
      <c r="H29" s="126" t="s">
        <v>324</v>
      </c>
    </row>
    <row r="30" spans="1:8" x14ac:dyDescent="0.5">
      <c r="A30" s="16" t="s">
        <v>300</v>
      </c>
      <c r="B30" s="16" t="s">
        <v>335</v>
      </c>
      <c r="D30" s="122">
        <v>2</v>
      </c>
      <c r="E30" s="123" t="s">
        <v>321</v>
      </c>
      <c r="F30" s="123" t="s">
        <v>325</v>
      </c>
      <c r="G30" s="123" t="s">
        <v>328</v>
      </c>
      <c r="H30" s="124" t="s">
        <v>325</v>
      </c>
    </row>
    <row r="31" spans="1:8" x14ac:dyDescent="0.5">
      <c r="A31" s="16" t="s">
        <v>353</v>
      </c>
      <c r="B31" s="16" t="s">
        <v>333</v>
      </c>
      <c r="D31" s="122">
        <v>3</v>
      </c>
      <c r="E31" s="125" t="s">
        <v>338</v>
      </c>
      <c r="F31" s="125" t="s">
        <v>374</v>
      </c>
      <c r="G31" s="125" t="s">
        <v>329</v>
      </c>
      <c r="H31" s="126" t="s">
        <v>331</v>
      </c>
    </row>
    <row r="32" spans="1:8" x14ac:dyDescent="0.5">
      <c r="A32" s="16" t="s">
        <v>301</v>
      </c>
      <c r="B32" s="16" t="s">
        <v>334</v>
      </c>
      <c r="D32" s="122">
        <v>4</v>
      </c>
      <c r="E32" s="123" t="s">
        <v>330</v>
      </c>
      <c r="F32" s="123" t="s">
        <v>375</v>
      </c>
      <c r="G32" s="123" t="s">
        <v>330</v>
      </c>
      <c r="H32" s="124" t="s">
        <v>340</v>
      </c>
    </row>
    <row r="33" spans="4:8" x14ac:dyDescent="0.5">
      <c r="D33" s="116" t="s">
        <v>337</v>
      </c>
      <c r="E33" s="117" t="s">
        <v>339</v>
      </c>
      <c r="F33" s="117" t="s">
        <v>376</v>
      </c>
      <c r="G33" s="117" t="s">
        <v>339</v>
      </c>
      <c r="H33" s="118" t="s">
        <v>377</v>
      </c>
    </row>
  </sheetData>
  <mergeCells count="3">
    <mergeCell ref="A23:B23"/>
    <mergeCell ref="A29:B29"/>
    <mergeCell ref="A13:C13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FDF5B-5EFB-BD4F-8CC6-D36C350A5C05}">
  <sheetPr codeName="Sheet8"/>
  <dimension ref="A1:G33"/>
  <sheetViews>
    <sheetView zoomScaleNormal="80" zoomScaleSheetLayoutView="100" workbookViewId="0">
      <selection activeCell="D30" sqref="D30"/>
    </sheetView>
  </sheetViews>
  <sheetFormatPr defaultRowHeight="14.1" x14ac:dyDescent="0.5"/>
  <cols>
    <col min="1" max="1" width="13.77734375" customWidth="1"/>
    <col min="2" max="2" width="18.21875" customWidth="1"/>
    <col min="3" max="3" width="18.33203125" customWidth="1"/>
    <col min="4" max="4" width="16.44140625" customWidth="1"/>
    <col min="5" max="5" width="16.77734375" customWidth="1"/>
    <col min="6" max="7" width="12.33203125" customWidth="1"/>
  </cols>
  <sheetData>
    <row r="1" spans="1:6" x14ac:dyDescent="0.5">
      <c r="A1" s="37" t="s">
        <v>411</v>
      </c>
      <c r="B1" s="127" t="s">
        <v>153</v>
      </c>
    </row>
    <row r="2" spans="1:6" x14ac:dyDescent="0.5">
      <c r="A2" s="128" t="s">
        <v>300</v>
      </c>
      <c r="B2" s="129" t="s">
        <v>378</v>
      </c>
    </row>
    <row r="3" spans="1:6" x14ac:dyDescent="0.5">
      <c r="A3" s="130" t="s">
        <v>300</v>
      </c>
      <c r="B3" s="131" t="s">
        <v>379</v>
      </c>
    </row>
    <row r="4" spans="1:6" x14ac:dyDescent="0.5">
      <c r="A4" s="128" t="s">
        <v>300</v>
      </c>
      <c r="B4" s="129" t="s">
        <v>380</v>
      </c>
    </row>
    <row r="5" spans="1:6" x14ac:dyDescent="0.5">
      <c r="A5" s="130" t="s">
        <v>300</v>
      </c>
      <c r="B5" s="131" t="s">
        <v>381</v>
      </c>
    </row>
    <row r="6" spans="1:6" x14ac:dyDescent="0.5">
      <c r="A6" s="128" t="s">
        <v>301</v>
      </c>
      <c r="B6" s="129" t="s">
        <v>306</v>
      </c>
    </row>
    <row r="7" spans="1:6" x14ac:dyDescent="0.5">
      <c r="A7" s="130" t="s">
        <v>301</v>
      </c>
      <c r="B7" s="131" t="s">
        <v>305</v>
      </c>
    </row>
    <row r="8" spans="1:6" x14ac:dyDescent="0.5">
      <c r="A8" s="128" t="s">
        <v>301</v>
      </c>
      <c r="B8" s="129" t="s">
        <v>382</v>
      </c>
    </row>
    <row r="9" spans="1:6" x14ac:dyDescent="0.5">
      <c r="A9" s="21" t="s">
        <v>301</v>
      </c>
      <c r="B9" s="22" t="s">
        <v>383</v>
      </c>
    </row>
    <row r="11" spans="1:6" ht="14.4" thickBot="1" x14ac:dyDescent="0.55000000000000004">
      <c r="A11" s="132" t="s">
        <v>343</v>
      </c>
      <c r="B11" s="133" t="s">
        <v>356</v>
      </c>
      <c r="C11" s="133" t="s">
        <v>23</v>
      </c>
      <c r="D11" s="133" t="s">
        <v>24</v>
      </c>
      <c r="E11" s="133" t="s">
        <v>25</v>
      </c>
      <c r="F11" s="133" t="s">
        <v>26</v>
      </c>
    </row>
    <row r="12" spans="1:6" ht="14.4" thickTop="1" x14ac:dyDescent="0.5">
      <c r="A12" s="134" t="s">
        <v>409</v>
      </c>
      <c r="B12" s="135" t="s">
        <v>414</v>
      </c>
      <c r="C12" s="135" t="s">
        <v>466</v>
      </c>
      <c r="D12" s="135" t="s">
        <v>467</v>
      </c>
      <c r="E12" s="135" t="s">
        <v>470</v>
      </c>
      <c r="F12" s="135" t="s">
        <v>420</v>
      </c>
    </row>
    <row r="13" spans="1:6" x14ac:dyDescent="0.5">
      <c r="A13" s="136" t="s">
        <v>342</v>
      </c>
      <c r="B13" s="23" t="s">
        <v>415</v>
      </c>
      <c r="C13" s="23" t="s">
        <v>418</v>
      </c>
      <c r="D13" s="23" t="s">
        <v>468</v>
      </c>
      <c r="E13" s="23" t="s">
        <v>464</v>
      </c>
      <c r="F13" s="23" t="s">
        <v>420</v>
      </c>
    </row>
    <row r="14" spans="1:6" x14ac:dyDescent="0.5">
      <c r="A14" s="136" t="s">
        <v>345</v>
      </c>
      <c r="B14" s="137" t="s">
        <v>412</v>
      </c>
      <c r="C14" s="137" t="s">
        <v>421</v>
      </c>
      <c r="D14" s="137" t="s">
        <v>469</v>
      </c>
      <c r="E14" s="137" t="s">
        <v>422</v>
      </c>
      <c r="F14" s="137" t="s">
        <v>420</v>
      </c>
    </row>
    <row r="15" spans="1:6" x14ac:dyDescent="0.5">
      <c r="A15" s="136" t="s">
        <v>347</v>
      </c>
      <c r="B15" s="23" t="s">
        <v>416</v>
      </c>
      <c r="C15" s="23" t="s">
        <v>423</v>
      </c>
      <c r="D15" s="23" t="s">
        <v>424</v>
      </c>
      <c r="E15" s="23" t="s">
        <v>428</v>
      </c>
      <c r="F15" s="23" t="s">
        <v>420</v>
      </c>
    </row>
    <row r="16" spans="1:6" x14ac:dyDescent="0.5">
      <c r="A16" s="136" t="s">
        <v>349</v>
      </c>
      <c r="B16" s="137" t="s">
        <v>417</v>
      </c>
      <c r="C16" s="137" t="s">
        <v>425</v>
      </c>
      <c r="D16" s="137" t="s">
        <v>426</v>
      </c>
      <c r="E16" s="137" t="s">
        <v>427</v>
      </c>
      <c r="F16" s="137" t="s">
        <v>420</v>
      </c>
    </row>
    <row r="17" spans="1:7" x14ac:dyDescent="0.5">
      <c r="A17" s="136" t="s">
        <v>410</v>
      </c>
      <c r="B17" s="23" t="s">
        <v>413</v>
      </c>
      <c r="C17" s="23" t="s">
        <v>479</v>
      </c>
      <c r="D17" s="23" t="s">
        <v>480</v>
      </c>
      <c r="E17" s="23" t="s">
        <v>481</v>
      </c>
      <c r="F17" s="23" t="s">
        <v>420</v>
      </c>
    </row>
    <row r="19" spans="1:7" ht="14.4" thickBot="1" x14ac:dyDescent="0.55000000000000004">
      <c r="A19" s="138" t="s">
        <v>343</v>
      </c>
      <c r="B19" s="139" t="s">
        <v>356</v>
      </c>
      <c r="C19" s="73" t="s">
        <v>27</v>
      </c>
      <c r="D19" s="73" t="s">
        <v>28</v>
      </c>
      <c r="E19" s="73" t="s">
        <v>29</v>
      </c>
      <c r="F19" s="73" t="s">
        <v>30</v>
      </c>
      <c r="G19" s="73" t="s">
        <v>26</v>
      </c>
    </row>
    <row r="20" spans="1:7" ht="31.8" thickTop="1" x14ac:dyDescent="0.5">
      <c r="A20" s="140" t="s">
        <v>409</v>
      </c>
      <c r="B20" s="141" t="s">
        <v>414</v>
      </c>
      <c r="C20" s="142" t="s">
        <v>465</v>
      </c>
      <c r="D20" s="142" t="s">
        <v>429</v>
      </c>
      <c r="E20" s="142" t="s">
        <v>475</v>
      </c>
      <c r="F20" s="142" t="s">
        <v>478</v>
      </c>
      <c r="G20" s="142" t="s">
        <v>420</v>
      </c>
    </row>
    <row r="21" spans="1:7" x14ac:dyDescent="0.5">
      <c r="A21" s="143" t="s">
        <v>342</v>
      </c>
      <c r="B21" s="144" t="s">
        <v>415</v>
      </c>
      <c r="C21" s="24" t="s">
        <v>430</v>
      </c>
      <c r="D21" s="24" t="s">
        <v>431</v>
      </c>
      <c r="E21" s="24" t="s">
        <v>432</v>
      </c>
      <c r="F21" s="24" t="s">
        <v>433</v>
      </c>
      <c r="G21" s="24" t="s">
        <v>420</v>
      </c>
    </row>
    <row r="22" spans="1:7" x14ac:dyDescent="0.5">
      <c r="A22" s="143" t="s">
        <v>345</v>
      </c>
      <c r="B22" s="145" t="s">
        <v>412</v>
      </c>
      <c r="C22" s="146" t="s">
        <v>434</v>
      </c>
      <c r="D22" s="146" t="s">
        <v>435</v>
      </c>
      <c r="E22" s="146" t="s">
        <v>436</v>
      </c>
      <c r="F22" s="146" t="s">
        <v>437</v>
      </c>
      <c r="G22" s="146" t="s">
        <v>420</v>
      </c>
    </row>
    <row r="23" spans="1:7" ht="21.3" x14ac:dyDescent="0.5">
      <c r="A23" s="143" t="s">
        <v>347</v>
      </c>
      <c r="B23" s="144" t="s">
        <v>416</v>
      </c>
      <c r="C23" s="24" t="s">
        <v>438</v>
      </c>
      <c r="D23" s="24" t="s">
        <v>439</v>
      </c>
      <c r="E23" s="24" t="s">
        <v>476</v>
      </c>
      <c r="F23" s="24" t="s">
        <v>440</v>
      </c>
      <c r="G23" s="24" t="s">
        <v>420</v>
      </c>
    </row>
    <row r="24" spans="1:7" x14ac:dyDescent="0.5">
      <c r="A24" s="143" t="s">
        <v>349</v>
      </c>
      <c r="B24" s="145" t="s">
        <v>417</v>
      </c>
      <c r="C24" s="146" t="s">
        <v>441</v>
      </c>
      <c r="D24" s="146" t="s">
        <v>442</v>
      </c>
      <c r="E24" s="146" t="s">
        <v>443</v>
      </c>
      <c r="F24" s="146" t="s">
        <v>444</v>
      </c>
      <c r="G24" s="146" t="s">
        <v>420</v>
      </c>
    </row>
    <row r="25" spans="1:7" ht="31.5" x14ac:dyDescent="0.5">
      <c r="A25" s="143" t="s">
        <v>410</v>
      </c>
      <c r="B25" s="144" t="s">
        <v>413</v>
      </c>
      <c r="C25" s="24" t="s">
        <v>482</v>
      </c>
      <c r="D25" s="24" t="s">
        <v>483</v>
      </c>
      <c r="E25" s="24" t="s">
        <v>477</v>
      </c>
      <c r="F25" s="24" t="s">
        <v>445</v>
      </c>
      <c r="G25" s="24" t="s">
        <v>420</v>
      </c>
    </row>
    <row r="27" spans="1:7" ht="14.4" thickBot="1" x14ac:dyDescent="0.55000000000000004">
      <c r="A27" s="147" t="s">
        <v>343</v>
      </c>
      <c r="B27" s="148" t="s">
        <v>356</v>
      </c>
      <c r="C27" s="107" t="s">
        <v>31</v>
      </c>
      <c r="D27" s="107" t="s">
        <v>35</v>
      </c>
      <c r="E27" s="107" t="s">
        <v>36</v>
      </c>
      <c r="F27" s="107" t="s">
        <v>37</v>
      </c>
      <c r="G27" s="107" t="s">
        <v>26</v>
      </c>
    </row>
    <row r="28" spans="1:7" ht="21.6" thickTop="1" x14ac:dyDescent="0.5">
      <c r="A28" s="149" t="s">
        <v>409</v>
      </c>
      <c r="B28" s="150" t="s">
        <v>414</v>
      </c>
      <c r="C28" s="150" t="s">
        <v>472</v>
      </c>
      <c r="D28" s="150" t="s">
        <v>450</v>
      </c>
      <c r="E28" s="150" t="s">
        <v>455</v>
      </c>
      <c r="F28" s="150" t="s">
        <v>460</v>
      </c>
      <c r="G28" s="150" t="s">
        <v>420</v>
      </c>
    </row>
    <row r="29" spans="1:7" x14ac:dyDescent="0.5">
      <c r="A29" s="151" t="s">
        <v>471</v>
      </c>
      <c r="B29" s="25" t="s">
        <v>415</v>
      </c>
      <c r="C29" s="25" t="s">
        <v>446</v>
      </c>
      <c r="D29" s="25" t="s">
        <v>452</v>
      </c>
      <c r="E29" s="25" t="s">
        <v>456</v>
      </c>
      <c r="F29" s="25" t="s">
        <v>419</v>
      </c>
      <c r="G29" s="25" t="s">
        <v>420</v>
      </c>
    </row>
    <row r="30" spans="1:7" ht="21.3" x14ac:dyDescent="0.5">
      <c r="A30" s="151" t="s">
        <v>345</v>
      </c>
      <c r="B30" s="152" t="s">
        <v>412</v>
      </c>
      <c r="C30" s="152" t="s">
        <v>447</v>
      </c>
      <c r="D30" s="152" t="s">
        <v>451</v>
      </c>
      <c r="E30" s="152" t="s">
        <v>457</v>
      </c>
      <c r="F30" s="152" t="s">
        <v>461</v>
      </c>
      <c r="G30" s="152" t="s">
        <v>420</v>
      </c>
    </row>
    <row r="31" spans="1:7" x14ac:dyDescent="0.5">
      <c r="A31" s="151" t="s">
        <v>347</v>
      </c>
      <c r="B31" s="25" t="s">
        <v>416</v>
      </c>
      <c r="C31" s="25" t="s">
        <v>448</v>
      </c>
      <c r="D31" s="25" t="s">
        <v>453</v>
      </c>
      <c r="E31" s="25" t="s">
        <v>458</v>
      </c>
      <c r="F31" s="25" t="s">
        <v>421</v>
      </c>
      <c r="G31" s="25" t="s">
        <v>420</v>
      </c>
    </row>
    <row r="32" spans="1:7" x14ac:dyDescent="0.5">
      <c r="A32" s="151" t="s">
        <v>349</v>
      </c>
      <c r="B32" s="152" t="s">
        <v>417</v>
      </c>
      <c r="C32" s="152" t="s">
        <v>449</v>
      </c>
      <c r="D32" s="152" t="s">
        <v>454</v>
      </c>
      <c r="E32" s="152" t="s">
        <v>459</v>
      </c>
      <c r="F32" s="152" t="s">
        <v>462</v>
      </c>
      <c r="G32" s="152" t="s">
        <v>420</v>
      </c>
    </row>
    <row r="33" spans="1:7" ht="21.3" x14ac:dyDescent="0.5">
      <c r="A33" s="151" t="s">
        <v>410</v>
      </c>
      <c r="B33" s="25" t="s">
        <v>413</v>
      </c>
      <c r="C33" s="25" t="s">
        <v>473</v>
      </c>
      <c r="D33" s="25" t="s">
        <v>474</v>
      </c>
      <c r="E33" s="25" t="s">
        <v>474</v>
      </c>
      <c r="F33" s="25" t="s">
        <v>463</v>
      </c>
      <c r="G33" s="25" t="s">
        <v>420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11332D-ACE6-465E-85B5-3512A1F09A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206</vt:i4>
      </vt:variant>
    </vt:vector>
  </HeadingPairs>
  <TitlesOfParts>
    <vt:vector size="218" baseType="lpstr">
      <vt:lpstr>Character Sheet</vt:lpstr>
      <vt:lpstr>Skills</vt:lpstr>
      <vt:lpstr>Apprenticeships</vt:lpstr>
      <vt:lpstr>Starting Skills</vt:lpstr>
      <vt:lpstr>Racial Bonuses</vt:lpstr>
      <vt:lpstr>NPC Baselines</vt:lpstr>
      <vt:lpstr>Stat Bonuses</vt:lpstr>
      <vt:lpstr>Lists</vt:lpstr>
      <vt:lpstr>Spells</vt:lpstr>
      <vt:lpstr>Physical Attacks</vt:lpstr>
      <vt:lpstr>Spell Attacks</vt:lpstr>
      <vt:lpstr>General Manuevers</vt:lpstr>
      <vt:lpstr>aActor</vt:lpstr>
      <vt:lpstr>aAlchemy</vt:lpstr>
      <vt:lpstr>aAnimist</vt:lpstr>
      <vt:lpstr>aBurglar</vt:lpstr>
      <vt:lpstr>aFencing</vt:lpstr>
      <vt:lpstr>AgilityBonus</vt:lpstr>
      <vt:lpstr>AgilityStat</vt:lpstr>
      <vt:lpstr>aIllusions</vt:lpstr>
      <vt:lpstr>aKnight</vt:lpstr>
      <vt:lpstr>aLycanthropy</vt:lpstr>
      <vt:lpstr>aMonk</vt:lpstr>
      <vt:lpstr>aNecromancy</vt:lpstr>
      <vt:lpstr>aPickPocket</vt:lpstr>
      <vt:lpstr>aPolitician</vt:lpstr>
      <vt:lpstr>Apprenticeships</vt:lpstr>
      <vt:lpstr>ApprenticeshipsTable</vt:lpstr>
      <vt:lpstr>aPriesthood</vt:lpstr>
      <vt:lpstr>aScholar</vt:lpstr>
      <vt:lpstr>aScholarship</vt:lpstr>
      <vt:lpstr>aSoldier</vt:lpstr>
      <vt:lpstr>aSquire</vt:lpstr>
      <vt:lpstr>aTracker</vt:lpstr>
      <vt:lpstr>aUndeadHunter</vt:lpstr>
      <vt:lpstr>AvailableSkillPoints</vt:lpstr>
      <vt:lpstr>AvailableTo</vt:lpstr>
      <vt:lpstr>aWrestling</vt:lpstr>
      <vt:lpstr>BalancingSkillLevel</vt:lpstr>
      <vt:lpstr>BalancingSkillLevelBase</vt:lpstr>
      <vt:lpstr>Bard</vt:lpstr>
      <vt:lpstr>Berserker</vt:lpstr>
      <vt:lpstr>Berzerker</vt:lpstr>
      <vt:lpstr>BodyBonus</vt:lpstr>
      <vt:lpstr>BodyDevelopmentSkillLevel</vt:lpstr>
      <vt:lpstr>BodyDevelopmentSkillLevelBase</vt:lpstr>
      <vt:lpstr>BodyGeneralSkillLevel</vt:lpstr>
      <vt:lpstr>BodyGeneralSkillLevelBase</vt:lpstr>
      <vt:lpstr>BodySkillPoints</vt:lpstr>
      <vt:lpstr>Bonus1</vt:lpstr>
      <vt:lpstr>Bonus10</vt:lpstr>
      <vt:lpstr>Bonus11</vt:lpstr>
      <vt:lpstr>Bonus2</vt:lpstr>
      <vt:lpstr>Bonus3</vt:lpstr>
      <vt:lpstr>Bonus4</vt:lpstr>
      <vt:lpstr>Bonus5</vt:lpstr>
      <vt:lpstr>Bonus6</vt:lpstr>
      <vt:lpstr>Bonus7</vt:lpstr>
      <vt:lpstr>Bonus8</vt:lpstr>
      <vt:lpstr>Bonus9</vt:lpstr>
      <vt:lpstr>BrainBonus</vt:lpstr>
      <vt:lpstr>BrainGeneralSkillLevel</vt:lpstr>
      <vt:lpstr>BrainGeneralSkillLevelBase</vt:lpstr>
      <vt:lpstr>BrainSkillPoints</vt:lpstr>
      <vt:lpstr>ChainSkillLevel</vt:lpstr>
      <vt:lpstr>ChainSkillLevelBase</vt:lpstr>
      <vt:lpstr>Cleric</vt:lpstr>
      <vt:lpstr>ClimbSkillLevel</vt:lpstr>
      <vt:lpstr>ClimbSkillLevelBase</vt:lpstr>
      <vt:lpstr>ConjuringSkillLevel</vt:lpstr>
      <vt:lpstr>ConjuringSkillLevelBase</vt:lpstr>
      <vt:lpstr>Conjuror</vt:lpstr>
      <vt:lpstr>ConstitutionBonus</vt:lpstr>
      <vt:lpstr>ConstitutionStat</vt:lpstr>
      <vt:lpstr>CurrentLevel</vt:lpstr>
      <vt:lpstr>Dwarf</vt:lpstr>
      <vt:lpstr>DwarfResistances</vt:lpstr>
      <vt:lpstr>DwarfStatBonuses</vt:lpstr>
      <vt:lpstr>DwarfStats</vt:lpstr>
      <vt:lpstr>EarnedSP</vt:lpstr>
      <vt:lpstr>Elf</vt:lpstr>
      <vt:lpstr>ElfResistances</vt:lpstr>
      <vt:lpstr>ElfStatBonuses</vt:lpstr>
      <vt:lpstr>ElfStats</vt:lpstr>
      <vt:lpstr>EnchantmentSkillLevel</vt:lpstr>
      <vt:lpstr>EnchantmentSkillLevelBase</vt:lpstr>
      <vt:lpstr>Feline</vt:lpstr>
      <vt:lpstr>FelineResistances</vt:lpstr>
      <vt:lpstr>FelineStatBonuses</vt:lpstr>
      <vt:lpstr>FelineStats</vt:lpstr>
      <vt:lpstr>Fighter</vt:lpstr>
      <vt:lpstr>GeneralSkillLevel</vt:lpstr>
      <vt:lpstr>HalfElf</vt:lpstr>
      <vt:lpstr>HalfElfResistances</vt:lpstr>
      <vt:lpstr>HalfElfStatBonuses</vt:lpstr>
      <vt:lpstr>HalfElfStats</vt:lpstr>
      <vt:lpstr>Halfling</vt:lpstr>
      <vt:lpstr>HalflingResistances</vt:lpstr>
      <vt:lpstr>HalflingStatBonuses</vt:lpstr>
      <vt:lpstr>HalflingStats</vt:lpstr>
      <vt:lpstr>HelmSkillLevel</vt:lpstr>
      <vt:lpstr>HelmSkillLevelBase</vt:lpstr>
      <vt:lpstr>HidingSkillLevel</vt:lpstr>
      <vt:lpstr>HidingSkillLevelBase</vt:lpstr>
      <vt:lpstr>Human</vt:lpstr>
      <vt:lpstr>HumanResistances</vt:lpstr>
      <vt:lpstr>HumanStatBonuses</vt:lpstr>
      <vt:lpstr>HumanStats</vt:lpstr>
      <vt:lpstr>IntelligenceBonus</vt:lpstr>
      <vt:lpstr>IntelligenceStat</vt:lpstr>
      <vt:lpstr>ItemLoreSkillLevel</vt:lpstr>
      <vt:lpstr>ItemLoreSkillLevelBase</vt:lpstr>
      <vt:lpstr>LeadershipSkillLevel</vt:lpstr>
      <vt:lpstr>LeadershipSkillLevelBase</vt:lpstr>
      <vt:lpstr>LocksSkillLevel</vt:lpstr>
      <vt:lpstr>LocksSkillLevelBase</vt:lpstr>
      <vt:lpstr>MixedGeneralSkillLevel</vt:lpstr>
      <vt:lpstr>MixedGeneralSkillLevelBase</vt:lpstr>
      <vt:lpstr>NaturalistSkillLevel</vt:lpstr>
      <vt:lpstr>NaturalistSkillLevelBase</vt:lpstr>
      <vt:lpstr>NoArmorSkillLevel</vt:lpstr>
      <vt:lpstr>NoArmorSkillLevelBase</vt:lpstr>
      <vt:lpstr>OldLevel</vt:lpstr>
      <vt:lpstr>Orc</vt:lpstr>
      <vt:lpstr>OrcResistances</vt:lpstr>
      <vt:lpstr>OrcStats</vt:lpstr>
      <vt:lpstr>Paladin</vt:lpstr>
      <vt:lpstr>PerceptionSkillLevel</vt:lpstr>
      <vt:lpstr>PerceptionSkillLevelBase</vt:lpstr>
      <vt:lpstr>PersuasionSkillLevel</vt:lpstr>
      <vt:lpstr>PersuasionSkillLevelBase</vt:lpstr>
      <vt:lpstr>PietyBonus</vt:lpstr>
      <vt:lpstr>PietyStat</vt:lpstr>
      <vt:lpstr>PlateSkillLevel</vt:lpstr>
      <vt:lpstr>PlateSkillLevelBase</vt:lpstr>
      <vt:lpstr>PrayersSkillLevel</vt:lpstr>
      <vt:lpstr>PrayersSkillLevelBase</vt:lpstr>
      <vt:lpstr>PresenceBonus</vt:lpstr>
      <vt:lpstr>PresenceStat</vt:lpstr>
      <vt:lpstr>PrimaryMeleeSkillLevel</vt:lpstr>
      <vt:lpstr>PrimaryMeleeSkillLevelBase</vt:lpstr>
      <vt:lpstr>PrimaryMissileSkillLevel</vt:lpstr>
      <vt:lpstr>PrimaryMissileSkillLevelBase</vt:lpstr>
      <vt:lpstr>Professions</vt:lpstr>
      <vt:lpstr>Races</vt:lpstr>
      <vt:lpstr>Ranger</vt:lpstr>
      <vt:lpstr>ReadRunesSkillLevel</vt:lpstr>
      <vt:lpstr>ReadRunesSkillLevelBase</vt:lpstr>
      <vt:lpstr>Reptillian</vt:lpstr>
      <vt:lpstr>ReptillianResistances</vt:lpstr>
      <vt:lpstr>ReptillianStatBonuses</vt:lpstr>
      <vt:lpstr>ReptillianStats</vt:lpstr>
      <vt:lpstr>ResistancesIndex</vt:lpstr>
      <vt:lpstr>RigidLeatherSkillLevel</vt:lpstr>
      <vt:lpstr>RigidLeatherSkillLevelBase</vt:lpstr>
      <vt:lpstr>RobesSkillLevel</vt:lpstr>
      <vt:lpstr>RobesSkillLevelBase</vt:lpstr>
      <vt:lpstr>Rogue</vt:lpstr>
      <vt:lpstr>RolledTotal</vt:lpstr>
      <vt:lpstr>RunSkillLevel</vt:lpstr>
      <vt:lpstr>RunSkillLevelBase</vt:lpstr>
      <vt:lpstr>SecondaryMeleeSkillLevel</vt:lpstr>
      <vt:lpstr>SecondaryMeleeSkillLevelBase</vt:lpstr>
      <vt:lpstr>SecondaryMissileSkillLevel</vt:lpstr>
      <vt:lpstr>SecondaryMissileSkillLevelBase</vt:lpstr>
      <vt:lpstr>SelectedApprenticeship</vt:lpstr>
      <vt:lpstr>SelectedProfession</vt:lpstr>
      <vt:lpstr>SelectedRace</vt:lpstr>
      <vt:lpstr>ShieldSkillLevel</vt:lpstr>
      <vt:lpstr>ShieldSkillLevelBase</vt:lpstr>
      <vt:lpstr>Skill_Level</vt:lpstr>
      <vt:lpstr>SkillLevelBonus</vt:lpstr>
      <vt:lpstr>SkillList</vt:lpstr>
      <vt:lpstr>SkillNames</vt:lpstr>
      <vt:lpstr>SkillPoints</vt:lpstr>
      <vt:lpstr>SkillPoints0</vt:lpstr>
      <vt:lpstr>SkillPoints1</vt:lpstr>
      <vt:lpstr>SkillPoints2</vt:lpstr>
      <vt:lpstr>SkillPoints3</vt:lpstr>
      <vt:lpstr>SkillPoints4</vt:lpstr>
      <vt:lpstr>SkillPoints5</vt:lpstr>
      <vt:lpstr>SkillPoints6</vt:lpstr>
      <vt:lpstr>SkillPoints7</vt:lpstr>
      <vt:lpstr>SkillPoints8</vt:lpstr>
      <vt:lpstr>SkillPoints9</vt:lpstr>
      <vt:lpstr>Skills</vt:lpstr>
      <vt:lpstr>SoftLeatherSkillLevel</vt:lpstr>
      <vt:lpstr>SoftLeatherSkillLevelBase</vt:lpstr>
      <vt:lpstr>SongsSkillLevel</vt:lpstr>
      <vt:lpstr>SongsSkillLevelBase</vt:lpstr>
      <vt:lpstr>SpellListList</vt:lpstr>
      <vt:lpstr>SpellLists</vt:lpstr>
      <vt:lpstr>SpendingSP</vt:lpstr>
      <vt:lpstr>SprintBaseLine</vt:lpstr>
      <vt:lpstr>SprintSkillLevel</vt:lpstr>
      <vt:lpstr>SprintSkillLevelBase</vt:lpstr>
      <vt:lpstr>SprintThisLevel</vt:lpstr>
      <vt:lpstr>StatBonus</vt:lpstr>
      <vt:lpstr>StealingSkillLevel</vt:lpstr>
      <vt:lpstr>StealingSkillLevelBase</vt:lpstr>
      <vt:lpstr>SteelingSkillLevel</vt:lpstr>
      <vt:lpstr>StrengthBonus</vt:lpstr>
      <vt:lpstr>StrengthStat</vt:lpstr>
      <vt:lpstr>SwimSkillLevel</vt:lpstr>
      <vt:lpstr>SwimSkillLevelBase</vt:lpstr>
      <vt:lpstr>TertiaryMeleeSkillLevel</vt:lpstr>
      <vt:lpstr>TertiaryMeleeSkillLevelBase</vt:lpstr>
      <vt:lpstr>TertiaryMissileSkillLevel</vt:lpstr>
      <vt:lpstr>TertiaryMissileSkillLevelBase</vt:lpstr>
      <vt:lpstr>TrackingSkillLevel</vt:lpstr>
      <vt:lpstr>TrackingSkillLevelBase</vt:lpstr>
      <vt:lpstr>TrackingSkillLevle</vt:lpstr>
      <vt:lpstr>TrapsSkillLevel</vt:lpstr>
      <vt:lpstr>TrapsSkillLevelBase</vt:lpstr>
      <vt:lpstr>UsedSP</vt:lpstr>
      <vt:lpstr>UseItemSkillLevel</vt:lpstr>
      <vt:lpstr>UseItemSkillLevelBase</vt:lpstr>
      <vt:lpstr>Wizard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Payton Byrd</dc:creator>
  <cp:lastModifiedBy>Payton Byrd</cp:lastModifiedBy>
  <dcterms:created xsi:type="dcterms:W3CDTF">2018-08-20T20:50:16Z</dcterms:created>
  <dcterms:modified xsi:type="dcterms:W3CDTF">2026-06-07T17:34:08Z</dcterms:modified>
</cp:coreProperties>
</file>