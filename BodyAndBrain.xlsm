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BodyAndBrain\website\bodyandbrain\"/>
    </mc:Choice>
  </mc:AlternateContent>
  <xr:revisionPtr revIDLastSave="0" documentId="13_ncr:1_{B77A8FA3-6FA0-49C8-9345-AD4CA44FD408}" xr6:coauthVersionLast="36" xr6:coauthVersionMax="36" xr10:uidLastSave="{00000000-0000-0000-0000-000000000000}"/>
  <bookViews>
    <workbookView xWindow="0" yWindow="0" windowWidth="28800" windowHeight="12816" tabRatio="789" activeTab="7" xr2:uid="{00000000-000D-0000-FFFF-FFFF00000000}"/>
  </bookViews>
  <sheets>
    <sheet name="Character Sheet" sheetId="10" r:id="rId1"/>
    <sheet name="Skills" sheetId="1" r:id="rId2"/>
    <sheet name="Apprenticeships" sheetId="12" r:id="rId3"/>
    <sheet name="Starting Skills" sheetId="11" r:id="rId4"/>
    <sheet name="Racial Bonuses" sheetId="2" r:id="rId5"/>
    <sheet name="Stat Bonuses" sheetId="5" r:id="rId6"/>
    <sheet name="Lists" sheetId="3" r:id="rId7"/>
    <sheet name="Spells" sheetId="4" r:id="rId8"/>
    <sheet name="Physical Attacks" sheetId="6" r:id="rId9"/>
    <sheet name="Spell Attacks" sheetId="7" r:id="rId10"/>
    <sheet name="General Manuevers" sheetId="8" r:id="rId11"/>
  </sheets>
  <functionGroups builtInGroupCount="19"/>
  <definedNames>
    <definedName name="aActor">Apprenticeships!$C$2:$AO$2</definedName>
    <definedName name="aAlchemy">Apprenticeships!$C$19:$AO$19</definedName>
    <definedName name="aAnimist">Apprenticeships!$C$15:$AO$15</definedName>
    <definedName name="aBurglar">Apprenticeships!$C$17:$AO$17</definedName>
    <definedName name="aFencing">Apprenticeships!$C$3:$AO$3</definedName>
    <definedName name="AgilityBonus">'Character Sheet'!$N$7</definedName>
    <definedName name="AgilityStat">'Character Sheet'!$H$7</definedName>
    <definedName name="aIllusions">Apprenticeships!$C$10:$AO$10</definedName>
    <definedName name="aKnight">Apprenticeships!$C$14:$AO$14</definedName>
    <definedName name="aLycanthropy">Apprenticeships!$C$5:$AO$5</definedName>
    <definedName name="aMonk">Apprenticeships!$C$7:$AO$7</definedName>
    <definedName name="aNecromancy">Apprenticeships!$C$11:$AO$11</definedName>
    <definedName name="aPickPocket">Apprenticeships!$C$18:$AO$18</definedName>
    <definedName name="aPolitician">Apprenticeships!$C$4:$AO$4</definedName>
    <definedName name="Apprenticeships">Apprenticeships!$A$1</definedName>
    <definedName name="ApprenticeshipsTable">Apprenticeships!$A$1:$AO$20</definedName>
    <definedName name="aPriesthood">Apprenticeships!$C$8:$AO$8</definedName>
    <definedName name="aScholar">Apprenticeships!$C$19:$AO$19</definedName>
    <definedName name="aScholarship">Apprenticeships!$C$20:$AO$20</definedName>
    <definedName name="aSoldier">Apprenticeships!$C$12:$AO$12</definedName>
    <definedName name="aSquire">Apprenticeships!$C$13:$AO$13</definedName>
    <definedName name="aTracker">Apprenticeships!$C$16:$AO$16</definedName>
    <definedName name="aUndeadHunter">Apprenticeships!$C$9:$AO$9</definedName>
    <definedName name="AvailableSkillPoints">'Character Sheet'!$X$1</definedName>
    <definedName name="AvailableTo">Apprenticeships!$B$1</definedName>
    <definedName name="aWrestling">Apprenticeships!$C$6:$AO$6</definedName>
    <definedName name="BalancingSkillLevel">'Character Sheet'!$X$25</definedName>
    <definedName name="BalancingSkillLevelBase">'Character Sheet'!$W$25</definedName>
    <definedName name="Bard">Skills!$H$1:$H$54</definedName>
    <definedName name="Berserker">Skills!$D$2:$D$54</definedName>
    <definedName name="Berzerker">Skills!$D$2:$D$54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Bonuses'!$L$11:$L$19</definedName>
    <definedName name="FelineResistances">'Racial Bonuses'!$K$22:$K$26</definedName>
    <definedName name="FelineStatBonuses">'Racial Bonuses'!$J$3:$J$5,'Racial Bonuses'!$J$6:$J$8</definedName>
    <definedName name="FelineStats">'Racial Bonuses'!$J$3:$J$8</definedName>
    <definedName name="Fighter">Skills!$C$1:$C$54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Orc">'Racial Bonuses'!$K$11:$K$19</definedName>
    <definedName name="OrcResistances">'Racial Bonuses'!$J$22:$J$26</definedName>
    <definedName name="OrcStats">'Racial Bonuses'!$I$3:$I$8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Bonuses'!$C$2:$J$2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Apprenticeships!$C$1:$AH$1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Apprenticeships!$C$1:$AO$1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6" i="10"/>
  <c r="AA7" i="10"/>
  <c r="AA41" i="10"/>
  <c r="AA15" i="10"/>
  <c r="AA23" i="10"/>
  <c r="AA26" i="10"/>
  <c r="AA52" i="10"/>
  <c r="AA25" i="10"/>
  <c r="AA35" i="10"/>
  <c r="AA56" i="10"/>
  <c r="AA29" i="10"/>
  <c r="AA49" i="10"/>
  <c r="AA47" i="10"/>
  <c r="AA13" i="10"/>
  <c r="AA8" i="10"/>
  <c r="AA39" i="10"/>
  <c r="AA36" i="10"/>
  <c r="AA17" i="10"/>
  <c r="AA50" i="10"/>
  <c r="AA51" i="10"/>
  <c r="AA14" i="10"/>
  <c r="AA18" i="10"/>
  <c r="AA48" i="10"/>
  <c r="AA22" i="10"/>
  <c r="AA43" i="10"/>
  <c r="AA33" i="10"/>
  <c r="AA55" i="10"/>
  <c r="AA31" i="10"/>
  <c r="AA9" i="10"/>
  <c r="AA32" i="10"/>
  <c r="AA24" i="10"/>
  <c r="AA16" i="10"/>
  <c r="AA42" i="10"/>
  <c r="AA34" i="10"/>
  <c r="AA44" i="10"/>
  <c r="AA30" i="10"/>
  <c r="AA10" i="10"/>
  <c r="AA19" i="10"/>
  <c r="AA40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8" i="10"/>
  <c r="L6" i="10"/>
  <c r="L23" i="10"/>
  <c r="L22" i="10"/>
  <c r="L24" i="10"/>
  <c r="L7" i="10"/>
  <c r="L14" i="10"/>
  <c r="L15" i="10"/>
  <c r="L13" i="10"/>
  <c r="L26" i="10"/>
  <c r="L25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39" i="10"/>
  <c r="AK41" i="10"/>
  <c r="AK42" i="10"/>
  <c r="AK40" i="10"/>
  <c r="AK44" i="10"/>
  <c r="AK43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17" i="10"/>
  <c r="AK32" i="10"/>
  <c r="AK47" i="10"/>
  <c r="AK23" i="10"/>
  <c r="AK25" i="10"/>
  <c r="AK52" i="10"/>
  <c r="AK8" i="10"/>
  <c r="AK6" i="10"/>
  <c r="AK50" i="10"/>
  <c r="AK16" i="10"/>
  <c r="AK9" i="10"/>
  <c r="AK10" i="10"/>
  <c r="AK19" i="10"/>
  <c r="AK36" i="10"/>
  <c r="AK29" i="10"/>
  <c r="AK22" i="10"/>
  <c r="AK24" i="10"/>
  <c r="AK33" i="10"/>
  <c r="AK14" i="10"/>
  <c r="AK7" i="10"/>
  <c r="AK31" i="10"/>
  <c r="AK13" i="10"/>
  <c r="AK35" i="10"/>
  <c r="AK51" i="10"/>
  <c r="AK30" i="10"/>
  <c r="AK18" i="10"/>
  <c r="AK34" i="10"/>
  <c r="AK48" i="10"/>
  <c r="AK49" i="10"/>
  <c r="AK15" i="10"/>
  <c r="AK26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<sst xmlns="http://schemas.openxmlformats.org/spreadsheetml/2006/main" count="1632" uniqueCount="575">
  <si>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</si>
  <si>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</si>
  <si>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</si>
  <si>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</si>
  <si>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</si>
  <si>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</si>
  <si>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</si>
  <si>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</si>
  <si>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</si>
  <si>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</si>
  <si>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</si>
  <si>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</si>
  <si>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</si>
  <si>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</si>
  <si>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</si>
  <si>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</si>
  <si>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</si>
  <si>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</si>
  <si>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</si>
  <si>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</si>
  <si>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</si>
  <si>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</si>
  <si>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</si>
  <si>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</si>
  <si>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</si>
  <si>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</si>
  <si>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</si>
  <si>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</si>
  <si>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</si>
  <si>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</si>
  <si>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</si>
  <si>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</si>
  <si>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</si>
  <si>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</si>
  <si>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</si>
  <si>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</si>
  <si>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</si>
  <si>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</si>
  <si>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</si>
  <si>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</si>
  <si>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</si>
  <si>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</si>
  <si>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</si>
  <si>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</si>
  <si>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</si>
  <si>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</si>
  <si>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</si>
  <si>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</si>
  <si>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</si>
  <si>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</si>
  <si>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</si>
  <si>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</si>
  <si>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</si>
  <si>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</si>
  <si>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</si>
  <si>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</si>
  <si>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</si>
  <si>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</si>
  <si>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</si>
  <si>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</si>
  <si>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</si>
  <si>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</si>
  <si>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</si>
  <si>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</si>
  <si>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</si>
  <si>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</si>
  <si>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Reptillian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</si>
  <si>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</si>
  <si>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</si>
  <si>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</si>
  <si>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</si>
  <si>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</si>
  <si>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</si>
  <si>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</si>
  <si>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</si>
  <si>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</si>
  <si>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</si>
  <si>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</si>
  <si>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</si>
  <si>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</si>
  <si>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</si>
  <si>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</si>
  <si>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</si>
  <si>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</si>
  <si>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</si>
  <si>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</si>
  <si>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</si>
  <si>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</si>
  <si>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</si>
  <si>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</si>
  <si>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</si>
  <si>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</si>
  <si>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</si>
  <si>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</si>
  <si>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</si>
  <si>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</si>
  <si>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</si>
  <si>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</si>
  <si>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</si>
  <si>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</si>
  <si>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</si>
  <si>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</si>
  <si>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</si>
  <si>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</si>
  <si>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</si>
  <si>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</si>
  <si>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</si>
  <si>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</si>
  <si>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</si>
  <si>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</si>
  <si>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</si>
  <si>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</si>
  <si>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</si>
  <si>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</si>
  <si>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</si>
  <si>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</si>
  <si>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</si>
  <si>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</si>
  <si>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</si>
  <si>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</si>
  <si>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</si>
  <si>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</si>
  <si>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</si>
  <si>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</si>
  <si>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</si>
  <si>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</si>
  <si>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</si>
  <si>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</si>
  <si>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</si>
  <si>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</si>
  <si>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</si>
  <si>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</si>
  <si>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</si>
  <si>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</si>
  <si>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</si>
  <si>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</si>
  <si>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</si>
  <si>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</si>
  <si>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</si>
  <si>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</si>
  <si>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</si>
  <si>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</si>
  <si>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</si>
  <si>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</si>
  <si>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</si>
  <si>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</si>
  <si>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</si>
  <si>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</si>
  <si>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</si>
  <si>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</si>
  <si>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</si>
  <si>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</si>
  <si>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</si>
  <si>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</si>
  <si>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</si>
  <si>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</si>
  <si>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</si>
  <si>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</si>
  <si>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</si>
  <si>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</si>
  <si>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</si>
  <si>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</si>
  <si>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</si>
  <si>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</si>
  <si>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</si>
  <si>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</si>
  <si>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</si>
  <si>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</si>
  <si>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</si>
  <si>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</si>
  <si>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</si>
  <si>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</si>
  <si>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</si>
  <si>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</si>
  <si>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</si>
  <si>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</si>
  <si>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</si>
  <si>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</si>
  <si>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</si>
  <si>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</si>
  <si>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</si>
  <si>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</si>
  <si>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</si>
  <si>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</si>
  <si>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</si>
  <si>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</si>
  <si>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</si>
  <si>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</si>
  <si>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</si>
  <si>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</si>
  <si>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</si>
  <si>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</si>
  <si>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</si>
  <si>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</si>
  <si>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</si>
  <si>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</si>
  <si>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</si>
  <si>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</si>
  <si>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</si>
  <si>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</si>
  <si>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</si>
  <si>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</si>
  <si>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</si>
  <si>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</si>
  <si>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</si>
  <si>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</si>
  <si>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</si>
  <si>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</si>
  <si>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</si>
  <si>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</si>
  <si>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</si>
  <si>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</si>
  <si>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</si>
  <si>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</si>
  <si>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</si>
  <si>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</si>
  <si>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</si>
  <si>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</si>
  <si>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</si>
  <si>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</si>
  <si>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</si>
  <si>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</si>
  <si>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</si>
  <si>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</si>
  <si>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</si>
  <si>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</si>
  <si>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</si>
  <si>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</si>
  <si>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</si>
  <si>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</si>
  <si>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</si>
  <si>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</si>
  <si>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</si>
  <si>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</si>
  <si>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</si>
  <si>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</si>
  <si>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</si>
  <si>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</si>
  <si>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</si>
  <si>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</si>
  <si>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</si>
  <si>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</si>
  <si>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</si>
  <si>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</si>
  <si>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</si>
  <si>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</si>
  <si>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</si>
  <si>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</si>
  <si>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</si>
  <si>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</si>
  <si>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</si>
  <si>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</si>
  <si>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</si>
  <si>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</si>
  <si>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</si>
  <si>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</si>
  <si>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</si>
  <si>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</si>
  <si>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</si>
  <si>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</si>
  <si>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</si>
  <si>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</si>
  <si>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</si>
  <si>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</si>
  <si>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</si>
  <si>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</si>
  <si>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</si>
  <si>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</si>
  <si>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</si>
  <si>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</si>
  <si>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</si>
  <si>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</si>
  <si>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</si>
  <si>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</si>
  <si>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</si>
  <si>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</si>
  <si>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</si>
  <si>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</si>
  <si>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</si>
  <si>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</si>
  <si>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</si>
  <si>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</si>
  <si>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</si>
  <si>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</si>
  <si>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</si>
  <si>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</si>
  <si>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</si>
  <si>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</si>
  <si>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</si>
  <si>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</si>
  <si>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</si>
  <si>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</si>
  <si>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</si>
  <si>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</si>
  <si>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</si>
  <si>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</si>
  <si>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</si>
  <si>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</si>
  <si>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</si>
  <si>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</si>
  <si>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</si>
  <si>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</si>
  <si>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</si>
  <si>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</si>
  <si>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</si>
  <si>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</si>
  <si>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</si>
  <si>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</si>
  <si>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</si>
  <si>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</si>
  <si>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</si>
  <si>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</si>
  <si>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</si>
  <si>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</si>
  <si>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</si>
  <si>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</si>
  <si>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</si>
  <si>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</si>
  <si>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</si>
  <si>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</si>
  <si>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</si>
  <si>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</si>
  <si>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</si>
  <si>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</si>
  <si>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</si>
  <si>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</si>
  <si>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</si>
  <si>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</si>
  <si>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</si>
  <si>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</si>
  <si>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</si>
  <si>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</si>
  <si>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</si>
  <si>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</si>
  <si>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</si>
  <si>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</si>
  <si>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</si>
  <si>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</si>
  <si>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</si>
  <si>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</si>
  <si>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</si>
  <si>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</si>
  <si>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</si>
  <si>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</si>
  <si>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</si>
  <si>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</si>
  <si>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</si>
  <si>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</si>
  <si>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</si>
  <si>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</si>
  <si>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</si>
  <si>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</si>
  <si>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</si>
  <si>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</si>
  <si>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</si>
  <si>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</si>
  <si>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</si>
  <si>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</si>
  <si>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</si>
  <si>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</si>
  <si>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</si>
  <si>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</si>
  <si>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</si>
  <si>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</si>
  <si>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</si>
  <si>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</si>
  <si>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</si>
  <si>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</si>
  <si>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</si>
  <si>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</si>
  <si>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</si>
  <si>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</si>
  <si>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</si>
  <si>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</si>
  <si>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</si>
  <si>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</si>
  <si>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</si>
  <si>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</si>
  <si>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</si>
  <si>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</si>
  <si>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</si>
  <si>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</si>
  <si>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</si>
  <si>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</si>
  <si>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</si>
  <si>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</si>
  <si>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</si>
  <si>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</si>
  <si>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</si>
  <si>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</si>
  <si>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</si>
  <si>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</si>
  <si>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</si>
  <si>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</si>
  <si>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</si>
  <si>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</si>
  <si>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</si>
  <si>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</si>
  <si>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</si>
  <si>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</si>
  <si>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</si>
  <si>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</si>
  <si>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</si>
  <si>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</si>
  <si>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</si>
  <si>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</si>
  <si>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</si>
  <si>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</si>
  <si>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</si>
  <si>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</si>
  <si>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</si>
  <si>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</si>
  <si>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</si>
  <si>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</si>
  <si>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</si>
  <si>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</si>
  <si>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</si>
  <si>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</si>
  <si>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</si>
  <si>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</si>
  <si>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</si>
  <si>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</si>
  <si>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</si>
  <si>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</si>
  <si>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</si>
  <si>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</si>
  <si>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</si>
  <si>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</si>
  <si>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</si>
  <si>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</si>
  <si>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</si>
  <si>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</si>
  <si>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</si>
  <si>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</si>
  <si>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</si>
  <si>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</si>
  <si>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</si>
  <si>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</si>
  <si>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</si>
  <si>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</si>
  <si>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</si>
  <si>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</si>
  <si>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</si>
  <si>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</si>
  <si>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</si>
  <si>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</si>
  <si>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</si>
  <si>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</si>
  <si>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</si>
  <si>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</si>
  <si>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</si>
  <si>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</si>
  <si>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</si>
  <si>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</si>
  <si>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</si>
  <si>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</si>
  <si>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</si>
  <si>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</si>
  <si>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</si>
  <si>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</si>
  <si>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</si>
  <si>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</si>
  <si>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</si>
  <si>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</si>
  <si>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</si>
  <si>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</si>
  <si>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</si>
  <si>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</si>
  <si>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</si>
  <si>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</si>
  <si>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</si>
  <si>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</si>
  <si>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</si>
  <si>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</si>
  <si>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</si>
  <si>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</si>
  <si>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</si>
  <si>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</si>
  <si>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</si>
  <si>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</si>
  <si>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</si>
  <si>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</si>
  <si>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</si>
  <si>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</si>
  <si>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</si>
  <si>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</si>
  <si>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</si>
  <si>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</si>
  <si>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</si>
  <si>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</si>
  <si>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</si>
  <si>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</si>
  <si>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</si>
  <si>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</si>
  <si>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</si>
  <si>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</si>
  <si>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</si>
  <si>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</si>
  <si>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</si>
  <si>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</si>
  <si>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</si>
  <si>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</si>
  <si>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</si>
  <si>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</si>
  <si>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</si>
  <si>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</si>
  <si>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</si>
  <si>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</si>
  <si>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</si>
  <si>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</si>
  <si>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</si>
  <si>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</si>
  <si>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</si>
  <si>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</si>
  <si>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</si>
  <si>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</si>
  <si>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</si>
  <si>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</si>
  <si>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</si>
  <si>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</si>
  <si>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</si>
  <si>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</si>
  <si>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</si>
  <si>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</si>
  <si>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</si>
  <si>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</si>
  <si>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</si>
  <si>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</si>
  <si>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</si>
  <si>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</si>
  <si>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</si>
  <si>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</si>
  <si>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</si>
  <si>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</si>
  <si>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</si>
  <si>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</si>
  <si>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</si>
  <si>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</si>
  <si>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</si>
  <si>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</si>
  <si>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</si>
  <si>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</si>
  <si>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</si>
  <si>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</si>
  <si>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</si>
  <si>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</si>
  <si>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</si>
  <si>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</si>
  <si>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</si>
  <si>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</si>
  <si>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</si>
  <si>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</si>
  <si>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</si>
  <si>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</si>
  <si>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</si>
  <si>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</si>
  <si>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</si>
  <si>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</si>
  <si>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</si>
  <si>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</si>
  <si>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</si>
  <si>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</si>
  <si>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</si>
  <si>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</si>
  <si>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</si>
  <si>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</si>
  <si>
    <t>Orc</t>
  </si>
  <si>
    <t>Berserker</t>
  </si>
  <si>
    <t>Requirements</t>
  </si>
  <si>
    <t>Restrictions</t>
  </si>
  <si>
    <t>Staff</t>
  </si>
  <si>
    <t>Totem</t>
  </si>
  <si>
    <t>Sigil</t>
  </si>
  <si>
    <t>Instrument</t>
  </si>
  <si>
    <t>While Playing Inst.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</si>
</sst>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3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  <font>
      <b/>
      <i/>
      <sz val="11"/>
      <color theme="9" tint="0.59999389629810485"/>
      <name val="Bembo"/>
      <family val="1"/>
      <scheme val="minor"/>
    </font>
    <font>
      <b/>
      <i/>
      <sz val="11"/>
      <color theme="2" tint="-0.249977111117893"/>
      <name val="Bembo"/>
      <family val="1"/>
      <scheme val="minor"/>
    </font>
    <font>
      <b/>
      <i/>
      <sz val="11"/>
      <color theme="4" tint="0.59999389629810485"/>
      <name val="Bembo"/>
      <family val="1"/>
      <scheme val="minor"/>
    </font>
    <font>
      <b/>
      <sz val="11"/>
      <color theme="4" tint="0.79998168889431442"/>
      <name val="Bembo"/>
      <family val="2"/>
      <scheme val="minor"/>
    </font>
    <font>
      <sz val="11"/>
      <color theme="4" tint="0.79998168889431442"/>
      <name val="Bembo"/>
      <family val="2"/>
      <scheme val="minor"/>
    </font>
    <font>
      <sz val="11"/>
      <color theme="1"/>
      <name val="Bembo"/>
      <family val="1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  <fill>
      <patternFill patternType="solid">
        <fgColor theme="5" tint="-0.499984740745262"/>
        <bgColor theme="5" tint="0.59999389629810485"/>
      </patternFill>
    </fill>
    <fill>
      <patternFill patternType="solid">
        <fgColor theme="5" tint="-0.499984740745262"/>
        <bgColor theme="5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79998168889431442"/>
        <bgColor theme="6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/>
      <top style="thin">
        <color theme="1" tint="0.34998626667073579"/>
      </top>
      <bottom/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/>
      <bottom style="thin">
        <color theme="1" tint="0.34998626667073579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2">
    <xf numFmtId="0" fontId="0" fillId="0" borderId="0"/>
    <xf numFmtId="0" fontId="8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6" fillId="3" borderId="0" applyNumberFormat="0" applyBorder="0" applyAlignment="0" applyProtection="0"/>
    <xf numFmtId="0" fontId="10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0" fillId="14" borderId="0" applyNumberFormat="0" applyBorder="0" applyAlignment="0" applyProtection="0"/>
    <xf numFmtId="0" fontId="6" fillId="15" borderId="0" applyNumberFormat="0" applyBorder="0" applyAlignment="0" applyProtection="0"/>
    <xf numFmtId="0" fontId="18" fillId="0" borderId="7" applyNumberFormat="0" applyFill="0" applyAlignment="0" applyProtection="0"/>
    <xf numFmtId="43" fontId="6" fillId="0" borderId="0" applyFont="0" applyFill="0" applyBorder="0" applyAlignment="0" applyProtection="0"/>
    <xf numFmtId="0" fontId="21" fillId="0" borderId="36" applyNumberFormat="0" applyFill="0" applyAlignment="0" applyProtection="0"/>
    <xf numFmtId="1" fontId="24" fillId="0" borderId="37" applyFill="0">
      <alignment horizontal="right"/>
    </xf>
    <xf numFmtId="1" fontId="24" fillId="0" borderId="38" applyFill="0">
      <alignment horizontal="right"/>
    </xf>
    <xf numFmtId="0" fontId="35" fillId="0" borderId="47" applyNumberFormat="0" applyFill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9" fillId="0" borderId="0" xfId="0" applyFont="1"/>
    <xf numFmtId="0" fontId="6" fillId="7" borderId="0" xfId="7"/>
    <xf numFmtId="0" fontId="6" fillId="8" borderId="0" xfId="8"/>
    <xf numFmtId="0" fontId="6" fillId="9" borderId="0" xfId="9"/>
    <xf numFmtId="0" fontId="11" fillId="3" borderId="0" xfId="3" applyFont="1"/>
    <xf numFmtId="0" fontId="12" fillId="3" borderId="0" xfId="3" applyFont="1"/>
    <xf numFmtId="0" fontId="9" fillId="3" borderId="0" xfId="3" applyFont="1"/>
    <xf numFmtId="0" fontId="13" fillId="3" borderId="0" xfId="3" applyFont="1"/>
    <xf numFmtId="0" fontId="14" fillId="0" borderId="0" xfId="0" applyFont="1"/>
    <xf numFmtId="0" fontId="0" fillId="0" borderId="0" xfId="0" applyAlignment="1">
      <alignment wrapText="1"/>
    </xf>
    <xf numFmtId="0" fontId="15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0" fillId="17" borderId="1" xfId="0" applyFont="1" applyFill="1" applyBorder="1" applyAlignment="1">
      <alignment horizontal="right"/>
    </xf>
    <xf numFmtId="0" fontId="9" fillId="0" borderId="0" xfId="0" applyFont="1" applyAlignment="1"/>
    <xf numFmtId="0" fontId="9" fillId="0" borderId="0" xfId="0" applyFont="1" applyAlignment="1">
      <alignment horizontal="left"/>
    </xf>
    <xf numFmtId="0" fontId="0" fillId="19" borderId="4" xfId="0" applyFont="1" applyFill="1" applyBorder="1" applyAlignment="1">
      <alignment horizontal="right"/>
    </xf>
    <xf numFmtId="0" fontId="0" fillId="19" borderId="1" xfId="0" applyFont="1" applyFill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/>
    <xf numFmtId="0" fontId="14" fillId="24" borderId="1" xfId="0" applyFont="1" applyFill="1" applyBorder="1"/>
    <xf numFmtId="0" fontId="14" fillId="27" borderId="1" xfId="0" applyFont="1" applyFill="1" applyBorder="1" applyAlignment="1">
      <alignment wrapText="1"/>
    </xf>
    <xf numFmtId="0" fontId="14" fillId="29" borderId="1" xfId="0" applyFont="1" applyFill="1" applyBorder="1" applyAlignment="1">
      <alignment wrapText="1"/>
    </xf>
    <xf numFmtId="0" fontId="18" fillId="0" borderId="7" xfId="16"/>
    <xf numFmtId="0" fontId="7" fillId="2" borderId="13" xfId="2" applyFont="1" applyFill="1" applyBorder="1"/>
    <xf numFmtId="0" fontId="7" fillId="2" borderId="14" xfId="2" applyFont="1" applyFill="1" applyBorder="1"/>
    <xf numFmtId="0" fontId="0" fillId="0" borderId="14" xfId="0" applyFont="1" applyBorder="1"/>
    <xf numFmtId="0" fontId="0" fillId="0" borderId="15" xfId="0" applyFont="1" applyBorder="1"/>
    <xf numFmtId="0" fontId="7" fillId="4" borderId="16" xfId="4" applyFont="1" applyFill="1" applyBorder="1"/>
    <xf numFmtId="0" fontId="7" fillId="4" borderId="17" xfId="4" applyFont="1" applyFill="1" applyBorder="1"/>
    <xf numFmtId="0" fontId="7" fillId="14" borderId="18" xfId="14" applyFont="1" applyFill="1" applyBorder="1"/>
    <xf numFmtId="0" fontId="7" fillId="14" borderId="19" xfId="14" applyFont="1" applyFill="1" applyBorder="1"/>
    <xf numFmtId="0" fontId="0" fillId="24" borderId="19" xfId="0" applyFont="1" applyFill="1" applyBorder="1"/>
    <xf numFmtId="0" fontId="0" fillId="24" borderId="20" xfId="0" applyFont="1" applyFill="1" applyBorder="1"/>
    <xf numFmtId="0" fontId="7" fillId="21" borderId="21" xfId="0" applyFont="1" applyFill="1" applyBorder="1"/>
    <xf numFmtId="0" fontId="7" fillId="21" borderId="22" xfId="0" applyFont="1" applyFill="1" applyBorder="1"/>
    <xf numFmtId="0" fontId="7" fillId="21" borderId="22" xfId="0" applyFont="1" applyFill="1" applyBorder="1" applyAlignment="1">
      <alignment horizontal="center"/>
    </xf>
    <xf numFmtId="0" fontId="7" fillId="21" borderId="23" xfId="0" applyFont="1" applyFill="1" applyBorder="1" applyAlignment="1">
      <alignment horizontal="center"/>
    </xf>
    <xf numFmtId="0" fontId="16" fillId="20" borderId="21" xfId="1" applyFont="1" applyFill="1" applyBorder="1"/>
    <xf numFmtId="0" fontId="7" fillId="20" borderId="22" xfId="1" applyFont="1" applyFill="1" applyBorder="1"/>
    <xf numFmtId="0" fontId="7" fillId="20" borderId="21" xfId="1" applyFont="1" applyFill="1" applyBorder="1"/>
    <xf numFmtId="0" fontId="10" fillId="20" borderId="21" xfId="0" applyFont="1" applyFill="1" applyBorder="1"/>
    <xf numFmtId="0" fontId="10" fillId="20" borderId="22" xfId="0" applyFont="1" applyFill="1" applyBorder="1"/>
    <xf numFmtId="0" fontId="16" fillId="20" borderId="21" xfId="0" applyFont="1" applyFill="1" applyBorder="1"/>
    <xf numFmtId="0" fontId="7" fillId="20" borderId="22" xfId="0" applyFont="1" applyFill="1" applyBorder="1"/>
    <xf numFmtId="0" fontId="7" fillId="20" borderId="21" xfId="0" applyFont="1" applyFill="1" applyBorder="1"/>
    <xf numFmtId="0" fontId="7" fillId="6" borderId="24" xfId="6" applyFont="1" applyFill="1" applyBorder="1"/>
    <xf numFmtId="0" fontId="7" fillId="30" borderId="25" xfId="0" applyFont="1" applyFill="1" applyBorder="1"/>
    <xf numFmtId="0" fontId="7" fillId="30" borderId="26" xfId="0" applyFont="1" applyFill="1" applyBorder="1"/>
    <xf numFmtId="0" fontId="7" fillId="30" borderId="27" xfId="0" applyFont="1" applyFill="1" applyBorder="1"/>
    <xf numFmtId="0" fontId="7" fillId="2" borderId="25" xfId="2" applyFont="1" applyFill="1" applyBorder="1"/>
    <xf numFmtId="0" fontId="7" fillId="2" borderId="26" xfId="2" applyFont="1" applyFill="1" applyBorder="1"/>
    <xf numFmtId="0" fontId="0" fillId="0" borderId="26" xfId="0" applyFont="1" applyBorder="1"/>
    <xf numFmtId="0" fontId="0" fillId="0" borderId="27" xfId="0" applyFont="1" applyBorder="1"/>
    <xf numFmtId="0" fontId="0" fillId="31" borderId="26" xfId="0" applyFont="1" applyFill="1" applyBorder="1"/>
    <xf numFmtId="0" fontId="0" fillId="31" borderId="27" xfId="0" applyFont="1" applyFill="1" applyBorder="1"/>
    <xf numFmtId="0" fontId="7" fillId="32" borderId="28" xfId="0" applyFont="1" applyFill="1" applyBorder="1"/>
    <xf numFmtId="0" fontId="7" fillId="32" borderId="29" xfId="0" applyFont="1" applyFill="1" applyBorder="1"/>
    <xf numFmtId="0" fontId="7" fillId="4" borderId="28" xfId="4" applyFont="1" applyFill="1" applyBorder="1"/>
    <xf numFmtId="0" fontId="7" fillId="4" borderId="29" xfId="4" applyFont="1" applyFill="1" applyBorder="1"/>
    <xf numFmtId="0" fontId="7" fillId="22" borderId="30" xfId="0" applyFont="1" applyFill="1" applyBorder="1"/>
    <xf numFmtId="0" fontId="7" fillId="22" borderId="31" xfId="0" applyFont="1" applyFill="1" applyBorder="1"/>
    <xf numFmtId="0" fontId="7" fillId="22" borderId="32" xfId="0" applyFont="1" applyFill="1" applyBorder="1"/>
    <xf numFmtId="0" fontId="7" fillId="14" borderId="30" xfId="14" applyFont="1" applyFill="1" applyBorder="1"/>
    <xf numFmtId="0" fontId="7" fillId="14" borderId="31" xfId="14" applyFont="1" applyFill="1" applyBorder="1"/>
    <xf numFmtId="0" fontId="0" fillId="24" borderId="31" xfId="0" applyFont="1" applyFill="1" applyBorder="1"/>
    <xf numFmtId="0" fontId="0" fillId="24" borderId="32" xfId="0" applyFont="1" applyFill="1" applyBorder="1"/>
    <xf numFmtId="0" fontId="0" fillId="0" borderId="31" xfId="0" applyFont="1" applyBorder="1"/>
    <xf numFmtId="0" fontId="0" fillId="0" borderId="32" xfId="0" applyFont="1" applyBorder="1"/>
    <xf numFmtId="0" fontId="7" fillId="25" borderId="0" xfId="0" applyFont="1" applyFill="1" applyBorder="1"/>
    <xf numFmtId="0" fontId="7" fillId="25" borderId="2" xfId="0" applyFont="1" applyFill="1" applyBorder="1"/>
    <xf numFmtId="0" fontId="7" fillId="25" borderId="3" xfId="0" applyFont="1" applyFill="1" applyBorder="1"/>
    <xf numFmtId="0" fontId="10" fillId="11" borderId="4" xfId="11" applyFont="1" applyFill="1" applyBorder="1"/>
    <xf numFmtId="0" fontId="0" fillId="26" borderId="4" xfId="0" applyFont="1" applyFill="1" applyBorder="1"/>
    <xf numFmtId="0" fontId="0" fillId="26" borderId="4" xfId="0" applyFont="1" applyFill="1" applyBorder="1" applyAlignment="1">
      <alignment horizontal="right"/>
    </xf>
    <xf numFmtId="0" fontId="0" fillId="26" borderId="4" xfId="0" applyFont="1" applyFill="1" applyBorder="1" applyAlignment="1">
      <alignment horizontal="center"/>
    </xf>
    <xf numFmtId="0" fontId="7" fillId="25" borderId="5" xfId="0" applyFont="1" applyFill="1" applyBorder="1"/>
    <xf numFmtId="0" fontId="10" fillId="11" borderId="1" xfId="11" applyFont="1" applyFill="1" applyBorder="1"/>
    <xf numFmtId="0" fontId="0" fillId="27" borderId="1" xfId="0" applyFont="1" applyFill="1" applyBorder="1"/>
    <xf numFmtId="0" fontId="0" fillId="26" borderId="1" xfId="0" applyFont="1" applyFill="1" applyBorder="1" applyAlignment="1">
      <alignment horizontal="right"/>
    </xf>
    <xf numFmtId="0" fontId="0" fillId="27" borderId="1" xfId="0" applyFont="1" applyFill="1" applyBorder="1" applyAlignment="1">
      <alignment horizontal="center"/>
    </xf>
    <xf numFmtId="0" fontId="0" fillId="26" borderId="1" xfId="0" applyFont="1" applyFill="1" applyBorder="1" applyAlignment="1">
      <alignment horizontal="center"/>
    </xf>
    <xf numFmtId="0" fontId="0" fillId="26" borderId="1" xfId="0" applyFont="1" applyFill="1" applyBorder="1"/>
    <xf numFmtId="0" fontId="7" fillId="12" borderId="5" xfId="12" applyFont="1" applyFill="1" applyBorder="1"/>
    <xf numFmtId="0" fontId="17" fillId="27" borderId="1" xfId="1" applyFont="1" applyFill="1" applyBorder="1"/>
    <xf numFmtId="0" fontId="17" fillId="26" borderId="1" xfId="1" applyFont="1" applyFill="1" applyBorder="1"/>
    <xf numFmtId="0" fontId="0" fillId="12" borderId="1" xfId="12" applyFont="1" applyFill="1" applyBorder="1"/>
    <xf numFmtId="0" fontId="0" fillId="31" borderId="1" xfId="0" applyFont="1" applyFill="1" applyBorder="1"/>
    <xf numFmtId="0" fontId="0" fillId="29" borderId="1" xfId="0" applyFont="1" applyFill="1" applyBorder="1"/>
    <xf numFmtId="0" fontId="0" fillId="29" borderId="1" xfId="0" applyFont="1" applyFill="1" applyBorder="1" applyAlignment="1">
      <alignment horizontal="right"/>
    </xf>
    <xf numFmtId="0" fontId="7" fillId="30" borderId="0" xfId="0" applyFont="1" applyFill="1" applyBorder="1"/>
    <xf numFmtId="0" fontId="7" fillId="30" borderId="2" xfId="0" applyFont="1" applyFill="1" applyBorder="1"/>
    <xf numFmtId="0" fontId="7" fillId="30" borderId="3" xfId="0" applyFont="1" applyFill="1" applyBorder="1"/>
    <xf numFmtId="0" fontId="0" fillId="35" borderId="4" xfId="0" applyFont="1" applyFill="1" applyBorder="1"/>
    <xf numFmtId="0" fontId="7" fillId="30" borderId="5" xfId="0" applyFont="1" applyFill="1" applyBorder="1"/>
    <xf numFmtId="0" fontId="0" fillId="35" borderId="1" xfId="0" applyFont="1" applyFill="1" applyBorder="1"/>
    <xf numFmtId="0" fontId="7" fillId="18" borderId="0" xfId="0" applyFont="1" applyFill="1" applyBorder="1" applyAlignment="1">
      <alignment horizontal="right"/>
    </xf>
    <xf numFmtId="0" fontId="7" fillId="18" borderId="2" xfId="0" applyFont="1" applyFill="1" applyBorder="1" applyAlignment="1">
      <alignment horizontal="right"/>
    </xf>
    <xf numFmtId="0" fontId="0" fillId="28" borderId="3" xfId="0" applyFont="1" applyFill="1" applyBorder="1" applyAlignment="1">
      <alignment horizontal="right"/>
    </xf>
    <xf numFmtId="0" fontId="0" fillId="28" borderId="4" xfId="0" applyFont="1" applyFill="1" applyBorder="1" applyAlignment="1">
      <alignment horizontal="right"/>
    </xf>
    <xf numFmtId="0" fontId="0" fillId="29" borderId="5" xfId="0" applyFont="1" applyFill="1" applyBorder="1" applyAlignment="1">
      <alignment horizontal="right"/>
    </xf>
    <xf numFmtId="0" fontId="0" fillId="28" borderId="5" xfId="0" applyFont="1" applyFill="1" applyBorder="1" applyAlignment="1">
      <alignment horizontal="right"/>
    </xf>
    <xf numFmtId="0" fontId="0" fillId="28" borderId="1" xfId="0" applyFont="1" applyFill="1" applyBorder="1" applyAlignment="1">
      <alignment horizontal="right"/>
    </xf>
    <xf numFmtId="0" fontId="7" fillId="18" borderId="0" xfId="0" applyFont="1" applyFill="1" applyBorder="1"/>
    <xf numFmtId="0" fontId="7" fillId="18" borderId="2" xfId="0" applyFont="1" applyFill="1" applyBorder="1"/>
    <xf numFmtId="0" fontId="7" fillId="18" borderId="3" xfId="0" applyFont="1" applyFill="1" applyBorder="1"/>
    <xf numFmtId="0" fontId="0" fillId="28" borderId="4" xfId="0" applyFont="1" applyFill="1" applyBorder="1"/>
    <xf numFmtId="0" fontId="7" fillId="18" borderId="5" xfId="0" applyFont="1" applyFill="1" applyBorder="1"/>
    <xf numFmtId="0" fontId="0" fillId="28" borderId="1" xfId="0" applyFont="1" applyFill="1" applyBorder="1"/>
    <xf numFmtId="0" fontId="7" fillId="32" borderId="0" xfId="0" applyFont="1" applyFill="1" applyBorder="1"/>
    <xf numFmtId="0" fontId="7" fillId="32" borderId="2" xfId="0" applyFont="1" applyFill="1" applyBorder="1"/>
    <xf numFmtId="0" fontId="7" fillId="32" borderId="3" xfId="0" applyFont="1" applyFill="1" applyBorder="1" applyAlignment="1">
      <alignment horizontal="right"/>
    </xf>
    <xf numFmtId="0" fontId="7" fillId="32" borderId="5" xfId="0" applyFont="1" applyFill="1" applyBorder="1"/>
    <xf numFmtId="0" fontId="7" fillId="2" borderId="13" xfId="2" applyFont="1" applyFill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5" xfId="0" applyFont="1" applyBorder="1" applyAlignment="1">
      <alignment horizontal="right"/>
    </xf>
    <xf numFmtId="0" fontId="0" fillId="35" borderId="4" xfId="0" applyFont="1" applyFill="1" applyBorder="1" applyAlignment="1">
      <alignment horizontal="right"/>
    </xf>
    <xf numFmtId="0" fontId="0" fillId="31" borderId="1" xfId="0" applyFont="1" applyFill="1" applyBorder="1" applyAlignment="1">
      <alignment horizontal="right"/>
    </xf>
    <xf numFmtId="0" fontId="0" fillId="35" borderId="1" xfId="0" applyFont="1" applyFill="1" applyBorder="1" applyAlignment="1">
      <alignment horizontal="right"/>
    </xf>
    <xf numFmtId="0" fontId="7" fillId="2" borderId="25" xfId="2" applyFont="1" applyFill="1" applyBorder="1" applyAlignment="1">
      <alignment horizontal="right"/>
    </xf>
    <xf numFmtId="0" fontId="0" fillId="31" borderId="26" xfId="0" applyFont="1" applyFill="1" applyBorder="1" applyAlignment="1">
      <alignment horizontal="right"/>
    </xf>
    <xf numFmtId="0" fontId="0" fillId="31" borderId="27" xfId="0" applyFont="1" applyFill="1" applyBorder="1" applyAlignment="1">
      <alignment horizontal="right"/>
    </xf>
    <xf numFmtId="0" fontId="0" fillId="0" borderId="26" xfId="0" applyFont="1" applyBorder="1" applyAlignment="1">
      <alignment horizontal="right"/>
    </xf>
    <xf numFmtId="0" fontId="0" fillId="0" borderId="27" xfId="0" applyFont="1" applyBorder="1" applyAlignment="1">
      <alignment horizontal="right"/>
    </xf>
    <xf numFmtId="0" fontId="7" fillId="21" borderId="23" xfId="0" applyFont="1" applyFill="1" applyBorder="1"/>
    <xf numFmtId="0" fontId="0" fillId="16" borderId="21" xfId="0" applyFont="1" applyFill="1" applyBorder="1"/>
    <xf numFmtId="0" fontId="0" fillId="16" borderId="23" xfId="0" applyFont="1" applyFill="1" applyBorder="1"/>
    <xf numFmtId="0" fontId="0" fillId="0" borderId="21" xfId="0" applyFont="1" applyBorder="1"/>
    <xf numFmtId="0" fontId="0" fillId="0" borderId="23" xfId="0" applyFont="1" applyBorder="1"/>
    <xf numFmtId="0" fontId="7" fillId="22" borderId="0" xfId="0" applyFont="1" applyFill="1" applyBorder="1"/>
    <xf numFmtId="0" fontId="7" fillId="22" borderId="2" xfId="0" applyFont="1" applyFill="1" applyBorder="1"/>
    <xf numFmtId="0" fontId="7" fillId="22" borderId="3" xfId="0" applyFont="1" applyFill="1" applyBorder="1"/>
    <xf numFmtId="0" fontId="14" fillId="23" borderId="4" xfId="0" applyFont="1" applyFill="1" applyBorder="1"/>
    <xf numFmtId="0" fontId="7" fillId="22" borderId="5" xfId="0" applyFont="1" applyFill="1" applyBorder="1"/>
    <xf numFmtId="0" fontId="14" fillId="23" borderId="1" xfId="0" applyFont="1" applyFill="1" applyBorder="1"/>
    <xf numFmtId="0" fontId="7" fillId="11" borderId="0" xfId="11" applyFont="1" applyFill="1" applyBorder="1"/>
    <xf numFmtId="0" fontId="7" fillId="11" borderId="2" xfId="11" applyFont="1" applyFill="1" applyBorder="1"/>
    <xf numFmtId="0" fontId="7" fillId="11" borderId="3" xfId="11" applyFont="1" applyFill="1" applyBorder="1"/>
    <xf numFmtId="0" fontId="14" fillId="13" borderId="4" xfId="13" applyFont="1" applyFill="1" applyBorder="1" applyAlignment="1">
      <alignment wrapText="1"/>
    </xf>
    <xf numFmtId="0" fontId="14" fillId="26" borderId="4" xfId="0" applyFont="1" applyFill="1" applyBorder="1" applyAlignment="1">
      <alignment wrapText="1"/>
    </xf>
    <xf numFmtId="0" fontId="7" fillId="11" borderId="5" xfId="11" applyFont="1" applyFill="1" applyBorder="1"/>
    <xf numFmtId="0" fontId="14" fillId="12" borderId="1" xfId="12" applyFont="1" applyFill="1" applyBorder="1" applyAlignment="1">
      <alignment wrapText="1"/>
    </xf>
    <xf numFmtId="0" fontId="14" fillId="13" borderId="1" xfId="13" applyFont="1" applyFill="1" applyBorder="1" applyAlignment="1">
      <alignment wrapText="1"/>
    </xf>
    <xf numFmtId="0" fontId="14" fillId="26" borderId="1" xfId="0" applyFont="1" applyFill="1" applyBorder="1" applyAlignment="1">
      <alignment wrapText="1"/>
    </xf>
    <xf numFmtId="0" fontId="7" fillId="10" borderId="0" xfId="10" applyFont="1" applyFill="1" applyBorder="1"/>
    <xf numFmtId="0" fontId="7" fillId="10" borderId="2" xfId="10" applyFont="1" applyFill="1" applyBorder="1"/>
    <xf numFmtId="0" fontId="10" fillId="10" borderId="3" xfId="10" applyFont="1" applyFill="1" applyBorder="1"/>
    <xf numFmtId="0" fontId="14" fillId="28" borderId="4" xfId="0" applyFont="1" applyFill="1" applyBorder="1" applyAlignment="1">
      <alignment wrapText="1"/>
    </xf>
    <xf numFmtId="0" fontId="10" fillId="10" borderId="5" xfId="10" applyFont="1" applyFill="1" applyBorder="1"/>
    <xf numFmtId="0" fontId="14" fillId="28" borderId="1" xfId="0" applyFont="1" applyFill="1" applyBorder="1" applyAlignment="1">
      <alignment wrapText="1"/>
    </xf>
    <xf numFmtId="0" fontId="0" fillId="29" borderId="0" xfId="0" applyFont="1" applyFill="1" applyBorder="1"/>
    <xf numFmtId="0" fontId="0" fillId="29" borderId="0" xfId="0" applyFont="1" applyFill="1" applyBorder="1" applyAlignment="1">
      <alignment horizontal="right"/>
    </xf>
    <xf numFmtId="0" fontId="0" fillId="0" borderId="34" xfId="0" applyBorder="1"/>
    <xf numFmtId="0" fontId="0" fillId="24" borderId="18" xfId="0" applyFont="1" applyFill="1" applyBorder="1"/>
    <xf numFmtId="0" fontId="0" fillId="24" borderId="30" xfId="0" applyFont="1" applyFill="1" applyBorder="1"/>
    <xf numFmtId="0" fontId="0" fillId="0" borderId="30" xfId="0" applyFont="1" applyBorder="1"/>
    <xf numFmtId="0" fontId="7" fillId="22" borderId="30" xfId="0" applyFont="1" applyFill="1" applyBorder="1" applyAlignment="1">
      <alignment horizontal="center"/>
    </xf>
    <xf numFmtId="0" fontId="7" fillId="22" borderId="32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9" fillId="37" borderId="0" xfId="0" applyFont="1" applyFill="1"/>
    <xf numFmtId="0" fontId="20" fillId="37" borderId="0" xfId="0" applyFont="1" applyFill="1" applyAlignment="1">
      <alignment wrapText="1"/>
    </xf>
    <xf numFmtId="0" fontId="0" fillId="38" borderId="0" xfId="0" applyFill="1"/>
    <xf numFmtId="0" fontId="19" fillId="38" borderId="0" xfId="0" applyFont="1" applyFill="1"/>
    <xf numFmtId="0" fontId="20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8" fillId="38" borderId="7" xfId="16" applyFill="1"/>
    <xf numFmtId="0" fontId="0" fillId="38" borderId="0" xfId="0" applyFill="1" applyBorder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8" fillId="37" borderId="7" xfId="16" applyFill="1"/>
    <xf numFmtId="0" fontId="0" fillId="37" borderId="0" xfId="0" applyFill="1" applyBorder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20" fillId="40" borderId="0" xfId="0" applyFont="1" applyFill="1" applyAlignment="1">
      <alignment wrapText="1"/>
    </xf>
    <xf numFmtId="0" fontId="0" fillId="37" borderId="34" xfId="0" applyFill="1" applyBorder="1"/>
    <xf numFmtId="0" fontId="0" fillId="38" borderId="34" xfId="0" applyFill="1" applyBorder="1"/>
    <xf numFmtId="0" fontId="22" fillId="0" borderId="0" xfId="0" applyFont="1"/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wrapText="1"/>
    </xf>
    <xf numFmtId="164" fontId="23" fillId="0" borderId="0" xfId="17" applyNumberFormat="1" applyFont="1" applyAlignment="1">
      <alignment horizontal="center" wrapText="1"/>
    </xf>
    <xf numFmtId="0" fontId="25" fillId="0" borderId="0" xfId="0" applyFont="1"/>
    <xf numFmtId="0" fontId="28" fillId="38" borderId="0" xfId="0" applyFont="1" applyFill="1" applyAlignment="1">
      <alignment wrapText="1"/>
    </xf>
    <xf numFmtId="0" fontId="29" fillId="37" borderId="0" xfId="0" applyFont="1" applyFill="1"/>
    <xf numFmtId="0" fontId="28" fillId="37" borderId="0" xfId="0" applyFont="1" applyFill="1" applyAlignment="1">
      <alignment wrapText="1"/>
    </xf>
    <xf numFmtId="0" fontId="0" fillId="37" borderId="33" xfId="0" applyFill="1" applyBorder="1"/>
    <xf numFmtId="0" fontId="0" fillId="39" borderId="33" xfId="0" applyFill="1" applyBorder="1"/>
    <xf numFmtId="0" fontId="0" fillId="39" borderId="34" xfId="0" applyFill="1" applyBorder="1"/>
    <xf numFmtId="0" fontId="0" fillId="38" borderId="33" xfId="0" applyFill="1" applyBorder="1"/>
    <xf numFmtId="0" fontId="0" fillId="41" borderId="34" xfId="0" applyFill="1" applyBorder="1"/>
    <xf numFmtId="0" fontId="0" fillId="41" borderId="43" xfId="0" applyFill="1" applyBorder="1"/>
    <xf numFmtId="0" fontId="0" fillId="41" borderId="39" xfId="0" applyFill="1" applyBorder="1"/>
    <xf numFmtId="0" fontId="0" fillId="41" borderId="0" xfId="0" applyFill="1" applyBorder="1"/>
    <xf numFmtId="0" fontId="0" fillId="41" borderId="40" xfId="0" applyFill="1" applyBorder="1"/>
    <xf numFmtId="0" fontId="0" fillId="41" borderId="41" xfId="0" applyFill="1" applyBorder="1"/>
    <xf numFmtId="0" fontId="0" fillId="41" borderId="33" xfId="0" applyFill="1" applyBorder="1"/>
    <xf numFmtId="0" fontId="0" fillId="41" borderId="42" xfId="0" applyFill="1" applyBorder="1"/>
    <xf numFmtId="0" fontId="28" fillId="39" borderId="0" xfId="0" applyFont="1" applyFill="1"/>
    <xf numFmtId="0" fontId="0" fillId="39" borderId="35" xfId="0" applyFill="1" applyBorder="1"/>
    <xf numFmtId="0" fontId="0" fillId="39" borderId="44" xfId="0" applyFill="1" applyBorder="1"/>
    <xf numFmtId="0" fontId="0" fillId="39" borderId="45" xfId="0" applyFill="1" applyBorder="1"/>
    <xf numFmtId="0" fontId="0" fillId="0" borderId="46" xfId="0" applyBorder="1"/>
    <xf numFmtId="1" fontId="0" fillId="38" borderId="46" xfId="0" applyNumberFormat="1" applyFill="1" applyBorder="1"/>
    <xf numFmtId="0" fontId="0" fillId="38" borderId="45" xfId="0" applyFill="1" applyBorder="1"/>
    <xf numFmtId="0" fontId="0" fillId="38" borderId="44" xfId="0" applyFill="1" applyBorder="1"/>
    <xf numFmtId="1" fontId="0" fillId="37" borderId="46" xfId="0" applyNumberFormat="1" applyFill="1" applyBorder="1"/>
    <xf numFmtId="0" fontId="0" fillId="37" borderId="44" xfId="0" applyFill="1" applyBorder="1"/>
    <xf numFmtId="0" fontId="30" fillId="39" borderId="0" xfId="0" applyFont="1" applyFill="1"/>
    <xf numFmtId="0" fontId="30" fillId="40" borderId="0" xfId="0" applyFont="1" applyFill="1"/>
    <xf numFmtId="0" fontId="31" fillId="37" borderId="0" xfId="0" applyFont="1" applyFill="1" applyAlignment="1">
      <alignment wrapText="1"/>
    </xf>
    <xf numFmtId="0" fontId="31" fillId="38" borderId="0" xfId="0" applyFont="1" applyFill="1" applyAlignment="1">
      <alignment wrapText="1"/>
    </xf>
    <xf numFmtId="0" fontId="30" fillId="41" borderId="0" xfId="0" applyFont="1" applyFill="1" applyBorder="1"/>
    <xf numFmtId="0" fontId="30" fillId="41" borderId="33" xfId="0" applyFont="1" applyFill="1" applyBorder="1"/>
    <xf numFmtId="0" fontId="32" fillId="0" borderId="7" xfId="16" applyFont="1" applyAlignment="1">
      <alignment horizontal="right"/>
    </xf>
    <xf numFmtId="0" fontId="33" fillId="0" borderId="0" xfId="0" applyFont="1" applyAlignment="1">
      <alignment horizontal="right"/>
    </xf>
    <xf numFmtId="0" fontId="30" fillId="36" borderId="0" xfId="0" applyFont="1" applyFill="1"/>
    <xf numFmtId="0" fontId="28" fillId="36" borderId="0" xfId="0" applyFont="1" applyFill="1"/>
    <xf numFmtId="0" fontId="7" fillId="6" borderId="48" xfId="6" applyFont="1" applyFill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5" fillId="0" borderId="0" xfId="17" applyNumberFormat="1" applyFont="1"/>
    <xf numFmtId="1" fontId="0" fillId="36" borderId="0" xfId="0" applyNumberFormat="1" applyFill="1" applyAlignment="1">
      <alignment horizontal="center"/>
    </xf>
    <xf numFmtId="0" fontId="25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7" fillId="37" borderId="0" xfId="0" applyFont="1" applyFill="1"/>
    <xf numFmtId="0" fontId="26" fillId="38" borderId="0" xfId="0" applyFont="1" applyFill="1"/>
    <xf numFmtId="0" fontId="26" fillId="40" borderId="0" xfId="0" applyFont="1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0" borderId="49" xfId="0" applyBorder="1"/>
    <xf numFmtId="0" fontId="0" fillId="38" borderId="49" xfId="0" applyFill="1" applyBorder="1"/>
    <xf numFmtId="0" fontId="0" fillId="38" borderId="51" xfId="0" applyFill="1" applyBorder="1"/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6" fillId="37" borderId="0" xfId="0" applyFont="1" applyFill="1"/>
    <xf numFmtId="0" fontId="0" fillId="38" borderId="50" xfId="0" applyFill="1" applyBorder="1"/>
    <xf numFmtId="1" fontId="38" fillId="0" borderId="0" xfId="17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6" fillId="40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36" borderId="0" xfId="0" applyFont="1" applyFill="1" applyAlignment="1">
      <alignment horizontal="center"/>
    </xf>
    <xf numFmtId="0" fontId="18" fillId="39" borderId="7" xfId="16" applyFill="1"/>
    <xf numFmtId="0" fontId="18" fillId="39" borderId="7" xfId="16" applyFill="1" applyAlignment="1">
      <alignment horizontal="center"/>
    </xf>
    <xf numFmtId="0" fontId="18" fillId="41" borderId="7" xfId="16" applyFill="1"/>
    <xf numFmtId="0" fontId="21" fillId="0" borderId="36" xfId="18"/>
    <xf numFmtId="0" fontId="35" fillId="0" borderId="47" xfId="21"/>
    <xf numFmtId="0" fontId="21" fillId="0" borderId="36" xfId="18" applyAlignment="1">
      <alignment wrapText="1"/>
    </xf>
    <xf numFmtId="164" fontId="21" fillId="0" borderId="36" xfId="18" applyNumberFormat="1"/>
    <xf numFmtId="0" fontId="35" fillId="0" borderId="47" xfId="21" applyAlignment="1">
      <alignment horizontal="right"/>
    </xf>
    <xf numFmtId="0" fontId="3" fillId="42" borderId="53" xfId="0" applyFont="1" applyFill="1" applyBorder="1"/>
    <xf numFmtId="0" fontId="3" fillId="42" borderId="54" xfId="0" applyFont="1" applyFill="1" applyBorder="1"/>
    <xf numFmtId="0" fontId="7" fillId="6" borderId="56" xfId="6" applyFont="1" applyFill="1" applyBorder="1"/>
    <xf numFmtId="0" fontId="3" fillId="42" borderId="59" xfId="0" applyFont="1" applyFill="1" applyBorder="1"/>
    <xf numFmtId="0" fontId="3" fillId="42" borderId="4" xfId="0" applyFont="1" applyFill="1" applyBorder="1"/>
    <xf numFmtId="0" fontId="3" fillId="42" borderId="60" xfId="0" applyFont="1" applyFill="1" applyBorder="1"/>
    <xf numFmtId="0" fontId="3" fillId="34" borderId="61" xfId="0" applyFont="1" applyFill="1" applyBorder="1"/>
    <xf numFmtId="0" fontId="3" fillId="34" borderId="1" xfId="0" applyFont="1" applyFill="1" applyBorder="1"/>
    <xf numFmtId="0" fontId="3" fillId="34" borderId="62" xfId="0" applyFont="1" applyFill="1" applyBorder="1"/>
    <xf numFmtId="0" fontId="3" fillId="42" borderId="61" xfId="0" applyFont="1" applyFill="1" applyBorder="1"/>
    <xf numFmtId="0" fontId="3" fillId="42" borderId="1" xfId="0" applyFont="1" applyFill="1" applyBorder="1"/>
    <xf numFmtId="0" fontId="3" fillId="42" borderId="62" xfId="0" applyFont="1" applyFill="1" applyBorder="1"/>
    <xf numFmtId="0" fontId="7" fillId="6" borderId="52" xfId="6" applyFont="1" applyFill="1" applyBorder="1"/>
    <xf numFmtId="0" fontId="3" fillId="42" borderId="63" xfId="0" applyFont="1" applyFill="1" applyBorder="1"/>
    <xf numFmtId="0" fontId="3" fillId="42" borderId="64" xfId="0" applyFont="1" applyFill="1" applyBorder="1"/>
    <xf numFmtId="0" fontId="3" fillId="43" borderId="21" xfId="0" applyFont="1" applyFill="1" applyBorder="1" applyAlignment="1">
      <alignment horizontal="right"/>
    </xf>
    <xf numFmtId="0" fontId="3" fillId="43" borderId="55" xfId="0" applyFont="1" applyFill="1" applyBorder="1" applyAlignment="1">
      <alignment horizontal="right"/>
    </xf>
    <xf numFmtId="0" fontId="3" fillId="16" borderId="21" xfId="0" applyFont="1" applyFill="1" applyBorder="1" applyAlignment="1">
      <alignment horizontal="right"/>
    </xf>
    <xf numFmtId="0" fontId="3" fillId="16" borderId="55" xfId="0" applyFont="1" applyFill="1" applyBorder="1" applyAlignment="1">
      <alignment horizontal="right"/>
    </xf>
    <xf numFmtId="0" fontId="7" fillId="18" borderId="69" xfId="0" applyFont="1" applyFill="1" applyBorder="1" applyAlignment="1">
      <alignment horizontal="right"/>
    </xf>
    <xf numFmtId="0" fontId="5" fillId="16" borderId="69" xfId="0" applyFont="1" applyFill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16" borderId="71" xfId="0" applyFont="1" applyFill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0" xfId="0" applyBorder="1"/>
    <xf numFmtId="0" fontId="46" fillId="45" borderId="68" xfId="0" applyFont="1" applyFill="1" applyBorder="1" applyAlignment="1">
      <alignment horizontal="right"/>
    </xf>
    <xf numFmtId="0" fontId="46" fillId="45" borderId="70" xfId="0" applyFont="1" applyFill="1" applyBorder="1" applyAlignment="1">
      <alignment horizontal="right"/>
    </xf>
    <xf numFmtId="0" fontId="46" fillId="45" borderId="72" xfId="0" applyFont="1" applyFill="1" applyBorder="1" applyAlignment="1">
      <alignment horizontal="right"/>
    </xf>
    <xf numFmtId="0" fontId="46" fillId="45" borderId="68" xfId="0" applyFont="1" applyFill="1" applyBorder="1"/>
    <xf numFmtId="0" fontId="46" fillId="45" borderId="74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71" xfId="0" applyFont="1" applyFill="1" applyBorder="1" applyAlignment="1">
      <alignment horizontal="center"/>
    </xf>
    <xf numFmtId="0" fontId="7" fillId="32" borderId="75" xfId="0" applyFont="1" applyFill="1" applyBorder="1"/>
    <xf numFmtId="0" fontId="7" fillId="32" borderId="76" xfId="0" applyFont="1" applyFill="1" applyBorder="1"/>
    <xf numFmtId="0" fontId="7" fillId="32" borderId="77" xfId="0" applyFont="1" applyFill="1" applyBorder="1"/>
    <xf numFmtId="0" fontId="4" fillId="17" borderId="78" xfId="0" applyFont="1" applyFill="1" applyBorder="1"/>
    <xf numFmtId="0" fontId="4" fillId="17" borderId="79" xfId="0" applyFont="1" applyFill="1" applyBorder="1"/>
    <xf numFmtId="0" fontId="4" fillId="17" borderId="80" xfId="0" applyFont="1" applyFill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0" fontId="4" fillId="17" borderId="81" xfId="0" applyFont="1" applyFill="1" applyBorder="1"/>
    <xf numFmtId="0" fontId="4" fillId="17" borderId="82" xfId="0" applyFont="1" applyFill="1" applyBorder="1"/>
    <xf numFmtId="0" fontId="4" fillId="17" borderId="83" xfId="0" applyFont="1" applyFill="1" applyBorder="1"/>
    <xf numFmtId="0" fontId="4" fillId="47" borderId="78" xfId="0" applyFont="1" applyFill="1" applyBorder="1"/>
    <xf numFmtId="0" fontId="4" fillId="38" borderId="78" xfId="0" applyFont="1" applyFill="1" applyBorder="1"/>
    <xf numFmtId="0" fontId="7" fillId="32" borderId="84" xfId="0" applyFont="1" applyFill="1" applyBorder="1"/>
    <xf numFmtId="0" fontId="4" fillId="17" borderId="85" xfId="0" applyFont="1" applyFill="1" applyBorder="1"/>
    <xf numFmtId="0" fontId="4" fillId="0" borderId="85" xfId="0" applyFont="1" applyBorder="1"/>
    <xf numFmtId="0" fontId="4" fillId="17" borderId="86" xfId="0" applyFont="1" applyFill="1" applyBorder="1"/>
    <xf numFmtId="0" fontId="2" fillId="17" borderId="85" xfId="0" applyFont="1" applyFill="1" applyBorder="1"/>
    <xf numFmtId="0" fontId="2" fillId="0" borderId="85" xfId="0" applyFont="1" applyBorder="1"/>
    <xf numFmtId="0" fontId="18" fillId="36" borderId="7" xfId="16" applyFill="1" applyAlignment="1">
      <alignment horizontal="left"/>
    </xf>
    <xf numFmtId="0" fontId="21" fillId="0" borderId="36" xfId="18" applyAlignment="1">
      <alignment horizontal="left"/>
    </xf>
    <xf numFmtId="0" fontId="18" fillId="38" borderId="7" xfId="16" applyFill="1" applyAlignment="1">
      <alignment horizontal="left"/>
    </xf>
    <xf numFmtId="0" fontId="18" fillId="41" borderId="7" xfId="16" applyFill="1" applyAlignment="1">
      <alignment horizontal="left"/>
    </xf>
    <xf numFmtId="0" fontId="18" fillId="39" borderId="7" xfId="16" applyFill="1" applyAlignment="1">
      <alignment horizontal="left"/>
    </xf>
    <xf numFmtId="0" fontId="18" fillId="37" borderId="7" xfId="16" applyFill="1" applyAlignment="1">
      <alignment horizontal="left"/>
    </xf>
    <xf numFmtId="0" fontId="18" fillId="40" borderId="7" xfId="16" applyFill="1" applyAlignment="1">
      <alignment horizontal="left"/>
    </xf>
    <xf numFmtId="0" fontId="45" fillId="44" borderId="65" xfId="0" applyFont="1" applyFill="1" applyBorder="1" applyAlignment="1">
      <alignment horizontal="center"/>
    </xf>
    <xf numFmtId="0" fontId="45" fillId="44" borderId="66" xfId="0" applyFont="1" applyFill="1" applyBorder="1" applyAlignment="1">
      <alignment horizontal="center"/>
    </xf>
    <xf numFmtId="0" fontId="45" fillId="44" borderId="67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47" fillId="48" borderId="28" xfId="0" applyFont="1" applyFill="1" applyBorder="1"/>
    <xf numFmtId="0" fontId="47" fillId="49" borderId="28" xfId="0" applyFont="1" applyFill="1" applyBorder="1"/>
    <xf numFmtId="0" fontId="47" fillId="49" borderId="16" xfId="0" applyFont="1" applyFill="1" applyBorder="1"/>
    <xf numFmtId="0" fontId="48" fillId="49" borderId="28" xfId="0" applyFont="1" applyFill="1" applyBorder="1"/>
    <xf numFmtId="0" fontId="48" fillId="48" borderId="28" xfId="0" applyFont="1" applyFill="1" applyBorder="1"/>
    <xf numFmtId="0" fontId="49" fillId="48" borderId="16" xfId="0" applyFont="1" applyFill="1" applyBorder="1" applyAlignment="1">
      <alignment horizontal="left"/>
    </xf>
    <xf numFmtId="0" fontId="49" fillId="48" borderId="89" xfId="0" applyFont="1" applyFill="1" applyBorder="1" applyAlignment="1">
      <alignment horizontal="left"/>
    </xf>
    <xf numFmtId="0" fontId="49" fillId="48" borderId="28" xfId="0" applyFont="1" applyFill="1" applyBorder="1" applyAlignment="1">
      <alignment horizontal="center"/>
    </xf>
    <xf numFmtId="0" fontId="49" fillId="48" borderId="88" xfId="0" applyFont="1" applyFill="1" applyBorder="1" applyAlignment="1">
      <alignment horizontal="center"/>
    </xf>
    <xf numFmtId="0" fontId="3" fillId="51" borderId="4" xfId="0" applyFont="1" applyFill="1" applyBorder="1"/>
    <xf numFmtId="0" fontId="3" fillId="50" borderId="61" xfId="0" applyFont="1" applyFill="1" applyBorder="1"/>
    <xf numFmtId="0" fontId="3" fillId="50" borderId="1" xfId="0" applyFont="1" applyFill="1" applyBorder="1"/>
    <xf numFmtId="0" fontId="3" fillId="50" borderId="62" xfId="0" applyFont="1" applyFill="1" applyBorder="1"/>
    <xf numFmtId="0" fontId="50" fillId="33" borderId="56" xfId="0" applyFont="1" applyFill="1" applyBorder="1" applyAlignment="1">
      <alignment wrapText="1"/>
    </xf>
    <xf numFmtId="0" fontId="50" fillId="33" borderId="24" xfId="0" applyFont="1" applyFill="1" applyBorder="1" applyAlignment="1">
      <alignment wrapText="1"/>
    </xf>
    <xf numFmtId="0" fontId="50" fillId="33" borderId="25" xfId="0" applyFont="1" applyFill="1" applyBorder="1" applyAlignment="1">
      <alignment wrapText="1"/>
    </xf>
    <xf numFmtId="0" fontId="50" fillId="33" borderId="57" xfId="0" applyFont="1" applyFill="1" applyBorder="1" applyAlignment="1">
      <alignment wrapText="1"/>
    </xf>
    <xf numFmtId="0" fontId="50" fillId="33" borderId="58" xfId="0" applyFont="1" applyFill="1" applyBorder="1" applyAlignment="1">
      <alignment wrapText="1"/>
    </xf>
    <xf numFmtId="0" fontId="51" fillId="0" borderId="0" xfId="0" applyFont="1" applyAlignment="1">
      <alignment wrapText="1"/>
    </xf>
    <xf numFmtId="0" fontId="29" fillId="0" borderId="0" xfId="0" applyFont="1"/>
    <xf numFmtId="0" fontId="52" fillId="17" borderId="28" xfId="0" applyFont="1" applyFill="1" applyBorder="1" applyAlignment="1">
      <alignment horizontal="right"/>
    </xf>
    <xf numFmtId="0" fontId="52" fillId="17" borderId="88" xfId="0" applyFont="1" applyFill="1" applyBorder="1" applyAlignment="1">
      <alignment horizontal="right"/>
    </xf>
    <xf numFmtId="0" fontId="52" fillId="19" borderId="28" xfId="0" applyFont="1" applyFill="1" applyBorder="1" applyAlignment="1">
      <alignment horizontal="right"/>
    </xf>
    <xf numFmtId="0" fontId="52" fillId="19" borderId="88" xfId="0" applyFont="1" applyFill="1" applyBorder="1" applyAlignment="1">
      <alignment horizontal="right"/>
    </xf>
    <xf numFmtId="0" fontId="52" fillId="19" borderId="28" xfId="0" applyNumberFormat="1" applyFont="1" applyFill="1" applyBorder="1" applyAlignment="1">
      <alignment horizontal="right"/>
    </xf>
    <xf numFmtId="0" fontId="52" fillId="17" borderId="28" xfId="0" applyNumberFormat="1" applyFont="1" applyFill="1" applyBorder="1" applyAlignment="1">
      <alignment horizontal="right"/>
    </xf>
    <xf numFmtId="0" fontId="52" fillId="19" borderId="88" xfId="0" applyNumberFormat="1" applyFont="1" applyFill="1" applyBorder="1" applyAlignment="1">
      <alignment horizontal="right"/>
    </xf>
    <xf numFmtId="0" fontId="52" fillId="17" borderId="16" xfId="0" applyFont="1" applyFill="1" applyBorder="1" applyAlignment="1">
      <alignment horizontal="right"/>
    </xf>
    <xf numFmtId="0" fontId="52" fillId="17" borderId="87" xfId="0" applyFont="1" applyFill="1" applyBorder="1" applyAlignment="1">
      <alignment horizontal="right"/>
    </xf>
    <xf numFmtId="0" fontId="1" fillId="0" borderId="0" xfId="0" applyFont="1" applyAlignment="1">
      <alignment wrapText="1"/>
    </xf>
    <xf numFmtId="0" fontId="9" fillId="52" borderId="0" xfId="0" applyFont="1" applyFill="1"/>
    <xf numFmtId="0" fontId="15" fillId="52" borderId="0" xfId="0" applyFont="1" applyFill="1"/>
    <xf numFmtId="0" fontId="0" fillId="52" borderId="0" xfId="0" applyFill="1"/>
    <xf numFmtId="0" fontId="1" fillId="37" borderId="0" xfId="0" applyFont="1" applyFill="1" applyAlignment="1">
      <alignment wrapText="1"/>
    </xf>
    <xf numFmtId="0" fontId="1" fillId="53" borderId="0" xfId="0" applyFont="1" applyFill="1" applyAlignment="1">
      <alignment wrapText="1"/>
    </xf>
    <xf numFmtId="0" fontId="1" fillId="54" borderId="0" xfId="0" applyFont="1" applyFill="1" applyAlignment="1">
      <alignment wrapText="1"/>
    </xf>
    <xf numFmtId="0" fontId="9" fillId="55" borderId="0" xfId="0" applyFont="1" applyFill="1"/>
    <xf numFmtId="0" fontId="1" fillId="55" borderId="0" xfId="0" applyFont="1" applyFill="1" applyAlignment="1">
      <alignment wrapText="1"/>
    </xf>
    <xf numFmtId="0" fontId="15" fillId="55" borderId="0" xfId="0" applyFont="1" applyFill="1"/>
    <xf numFmtId="0" fontId="1" fillId="56" borderId="0" xfId="0" applyFont="1" applyFill="1" applyAlignment="1">
      <alignment wrapText="1"/>
    </xf>
    <xf numFmtId="0" fontId="1" fillId="57" borderId="0" xfId="0" applyFont="1" applyFill="1" applyAlignment="1">
      <alignment wrapText="1"/>
    </xf>
    <xf numFmtId="0" fontId="1" fillId="58" borderId="0" xfId="0" applyFont="1" applyFill="1" applyAlignment="1">
      <alignment wrapText="1"/>
    </xf>
    <xf numFmtId="0" fontId="6" fillId="59" borderId="0" xfId="5" applyFill="1"/>
    <xf numFmtId="0" fontId="6" fillId="39" borderId="0" xfId="15" applyFill="1"/>
    <xf numFmtId="0" fontId="1" fillId="39" borderId="0" xfId="0" applyFont="1" applyFill="1" applyAlignment="1">
      <alignment wrapText="1"/>
    </xf>
    <xf numFmtId="0" fontId="1" fillId="36" borderId="0" xfId="0" applyFont="1" applyFill="1" applyAlignment="1">
      <alignment wrapText="1"/>
    </xf>
    <xf numFmtId="0" fontId="1" fillId="43" borderId="21" xfId="0" quotePrefix="1" applyFont="1" applyFill="1" applyBorder="1" applyAlignment="1">
      <alignment horizontal="right"/>
    </xf>
    <xf numFmtId="0" fontId="1" fillId="43" borderId="55" xfId="0" quotePrefix="1" applyFont="1" applyFill="1" applyBorder="1" applyAlignment="1">
      <alignment horizontal="right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2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38970" y="1192306"/>
              <a:ext cx="175877" cy="206188"/>
              <a:chOff x="11281209" y="762004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38620" y="1402505"/>
              <a:ext cx="176227" cy="206939"/>
              <a:chOff x="11281209" y="761995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38970" y="1614207"/>
              <a:ext cx="175877" cy="196664"/>
              <a:chOff x="11281209" y="761993"/>
              <a:chExt cx="192506" cy="203341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34208" y="1815635"/>
              <a:ext cx="180639" cy="195262"/>
              <a:chOff x="11281209" y="762007"/>
              <a:chExt cx="192506" cy="203327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34209" y="2017065"/>
              <a:ext cx="180638" cy="195262"/>
              <a:chOff x="11281209" y="762007"/>
              <a:chExt cx="192506" cy="203327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26588" y="244736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26588" y="2653553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26588" y="2859741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26588" y="3065929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26588" y="327211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26588" y="3478306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26588" y="3684494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26588" y="4114800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26588" y="432098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26588" y="4527176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26588" y="473336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26588" y="4939553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26588" y="536985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26588" y="5576047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26588" y="578223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26588" y="598842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26588" y="619461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26588" y="6400800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26588" y="660698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26588" y="6813176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26588" y="724348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26588" y="7449671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26588" y="765585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26588" y="7862047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26588" y="806823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26588" y="827442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26588" y="870472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26588" y="8910918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26588" y="9117106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26588" y="932329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26588" y="952948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26588" y="9735671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26588" y="10300447"/>
              <a:ext cx="188259" cy="197167"/>
              <a:chOff x="11281209" y="761995"/>
              <a:chExt cx="192506" cy="203342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26588" y="10497671"/>
              <a:ext cx="188259" cy="197223"/>
              <a:chOff x="11281209" y="762003"/>
              <a:chExt cx="192506" cy="203331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388620</xdr:colOff>
          <xdr:row>51</xdr:row>
          <xdr:rowOff>15240</xdr:rowOff>
        </xdr:from>
        <xdr:ext cx="540123" cy="17526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27" dataDxfId="26"/>
    <tableColumn id="3" xr3:uid="{0B865F76-E61B-6544-9B41-A4A2E7C152DD}" name="Column3" headerRowDxfId="25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3" dataDxfId="22">
  <tableColumns count="2">
    <tableColumn id="1" xr3:uid="{B6B32A0E-EB9A-CC4A-99A2-065707DF3245}" name="Column1" headerRowDxfId="21" dataDxfId="20"/>
    <tableColumn id="2" xr3:uid="{647C541E-3632-1D43-81B3-0DFE26CD1A10}" name="Column2" headerRowDxfId="19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17" dataDxfId="16">
  <tableColumns count="2">
    <tableColumn id="1" xr3:uid="{40A1B792-9D50-5648-9C47-1649D813CF8E}" name="Column1" headerRowDxfId="15" dataDxfId="14"/>
    <tableColumn id="2" xr3:uid="{9F43CB75-1BB8-7444-89A5-E34CBF214000}" name="Column2" headerRowDxfId="13" dataDxfId="12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1" dataDxfId="10">
  <tableColumns count="2">
    <tableColumn id="1" xr3:uid="{5EF20C03-4ECF-FC4C-B95A-704381F44805}" name="Column1" headerRowDxfId="9" dataDxfId="8"/>
    <tableColumn id="2" xr3:uid="{8DAF8956-00E9-8E4D-97C1-6564FA15A3B8}" name="Column2" headerRowDxfId="7" dataDxfId="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5" dataDxfId="4">
  <tableColumns count="2">
    <tableColumn id="1" xr3:uid="{8F01CE92-1FC9-DC4C-8E0D-B367AD8A897F}" name="Column1" headerRowDxfId="3" dataDxfId="2"/>
    <tableColumn id="2" xr3:uid="{B04DB00F-9F72-434F-A953-7A45861D58BB}" name="Column2" headerRowDxf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zoomScale="85" zoomScaleNormal="85" zoomScalePageLayoutView="85" workbookViewId="0">
      <pane ySplit="1" topLeftCell="A17" activePane="bottomLeft" state="frozen"/>
      <selection pane="bottomLeft" activeCell="AA39" sqref="AA39"/>
    </sheetView>
  </sheetViews>
  <sheetFormatPr defaultRowHeight="13.8" x14ac:dyDescent="0.25"/>
  <cols>
    <col min="1" max="1" width="3.21875" customWidth="1"/>
    <col min="2" max="2" width="14.44140625" customWidth="1"/>
    <col min="3" max="3" width="0.88671875" customWidth="1"/>
    <col min="4" max="4" width="27" style="223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4" bestFit="1" customWidth="1"/>
    <col min="22" max="22" width="5.77734375" style="14" hidden="1" customWidth="1"/>
    <col min="23" max="23" width="5.33203125" style="14" hidden="1" customWidth="1"/>
    <col min="24" max="24" width="6" style="228" customWidth="1"/>
    <col min="25" max="25" width="2.77734375" customWidth="1"/>
    <col min="26" max="26" width="2.77734375" hidden="1" customWidth="1"/>
    <col min="27" max="27" width="8.5546875" style="256" bestFit="1" customWidth="1"/>
    <col min="28" max="28" width="1.109375" customWidth="1"/>
    <col min="29" max="29" width="5.88671875" style="228" customWidth="1"/>
    <col min="30" max="30" width="1.109375" customWidth="1"/>
    <col min="31" max="31" width="5.88671875" style="228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32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8" thickBot="1" x14ac:dyDescent="0.4">
      <c r="B1" s="266" t="s">
        <v>488</v>
      </c>
      <c r="C1" s="266"/>
      <c r="D1" s="269"/>
      <c r="F1" s="266" t="s">
        <v>84</v>
      </c>
      <c r="G1" s="266"/>
      <c r="H1" s="266"/>
      <c r="I1" s="266"/>
      <c r="J1" s="266"/>
      <c r="K1" s="266"/>
      <c r="L1" s="266"/>
      <c r="M1" s="266"/>
      <c r="N1" s="266"/>
      <c r="O1" s="266"/>
      <c r="P1" s="269">
        <v>0</v>
      </c>
      <c r="R1" s="266" t="s">
        <v>485</v>
      </c>
      <c r="S1" s="266"/>
      <c r="T1" s="265"/>
      <c r="U1" s="267" t="s">
        <v>526</v>
      </c>
      <c r="V1" s="267"/>
      <c r="W1" s="267"/>
      <c r="X1" s="265">
        <f>EarnedSP-(SpendingSP+UsedSP)</f>
        <v>0</v>
      </c>
      <c r="Y1" s="265"/>
      <c r="Z1" s="265"/>
      <c r="AA1" s="323" t="s">
        <v>557</v>
      </c>
      <c r="AB1" s="323"/>
      <c r="AC1" s="323"/>
      <c r="AD1" s="265"/>
      <c r="AE1" s="265">
        <f>SUM(Z:Z)</f>
        <v>0</v>
      </c>
      <c r="AF1" s="265"/>
      <c r="AG1" s="265"/>
      <c r="AH1" s="265"/>
      <c r="AI1" s="265"/>
      <c r="AJ1" s="265"/>
      <c r="AK1" s="268"/>
    </row>
    <row r="2" spans="2:42" ht="14.4" thickTop="1" x14ac:dyDescent="0.25"/>
    <row r="3" spans="2:42" ht="17.399999999999999" thickBot="1" x14ac:dyDescent="0.35">
      <c r="B3" s="28" t="s">
        <v>489</v>
      </c>
      <c r="C3" s="28"/>
      <c r="D3" s="222"/>
      <c r="F3" s="323" t="s">
        <v>492</v>
      </c>
      <c r="G3" s="323"/>
      <c r="H3" s="323"/>
      <c r="I3" s="323"/>
      <c r="J3" s="323"/>
      <c r="K3" s="323"/>
      <c r="L3" s="323"/>
      <c r="M3" s="323"/>
      <c r="N3" s="323"/>
      <c r="O3" s="323"/>
      <c r="P3" s="323"/>
      <c r="R3" s="323" t="s">
        <v>499</v>
      </c>
      <c r="S3" s="323"/>
      <c r="T3" s="323"/>
      <c r="U3" s="323"/>
      <c r="V3" s="323"/>
      <c r="W3" s="323"/>
      <c r="X3" s="323"/>
      <c r="Y3" s="323"/>
      <c r="Z3" s="323"/>
      <c r="AA3" s="323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42" ht="28.2" customHeight="1" x14ac:dyDescent="0.25">
      <c r="F4" s="186"/>
      <c r="G4" s="186"/>
      <c r="H4" s="187" t="s">
        <v>493</v>
      </c>
      <c r="I4" s="187"/>
      <c r="J4" s="187" t="s">
        <v>494</v>
      </c>
      <c r="K4" s="187"/>
      <c r="L4" s="187" t="s">
        <v>495</v>
      </c>
      <c r="M4" s="187"/>
      <c r="N4" s="187" t="s">
        <v>496</v>
      </c>
      <c r="O4" s="186"/>
      <c r="P4" s="187" t="s">
        <v>485</v>
      </c>
      <c r="R4" s="187" t="s">
        <v>151</v>
      </c>
      <c r="S4" s="187" t="s">
        <v>150</v>
      </c>
      <c r="T4" s="187"/>
      <c r="U4" s="187" t="s">
        <v>493</v>
      </c>
      <c r="V4" s="187" t="s">
        <v>538</v>
      </c>
      <c r="W4" s="187" t="s">
        <v>551</v>
      </c>
      <c r="X4" s="188" t="s">
        <v>500</v>
      </c>
      <c r="Y4" s="188"/>
      <c r="Z4" s="188"/>
      <c r="AA4" s="230" t="s">
        <v>555</v>
      </c>
      <c r="AB4" s="188"/>
      <c r="AC4" s="188" t="s">
        <v>494</v>
      </c>
      <c r="AD4" s="188"/>
      <c r="AE4" s="188" t="s">
        <v>496</v>
      </c>
      <c r="AF4" s="188"/>
      <c r="AG4" s="188" t="s">
        <v>501</v>
      </c>
      <c r="AH4" s="188"/>
      <c r="AI4" s="188" t="s">
        <v>501</v>
      </c>
      <c r="AJ4" s="188"/>
      <c r="AK4" s="189" t="s">
        <v>502</v>
      </c>
      <c r="AO4" t="s">
        <v>485</v>
      </c>
    </row>
    <row r="5" spans="2:42" ht="14.4" thickBot="1" x14ac:dyDescent="0.3">
      <c r="B5" s="28" t="s">
        <v>490</v>
      </c>
      <c r="C5" s="28"/>
      <c r="D5" s="222" t="s">
        <v>566</v>
      </c>
      <c r="F5" s="178" t="s">
        <v>5</v>
      </c>
      <c r="G5" s="178"/>
      <c r="H5" s="178"/>
      <c r="I5" s="178"/>
      <c r="J5" s="178"/>
      <c r="K5" s="178"/>
      <c r="L5" s="178"/>
      <c r="M5" s="178"/>
      <c r="N5" s="178"/>
      <c r="O5" s="178"/>
      <c r="P5" s="178"/>
      <c r="R5" s="327" t="s">
        <v>5</v>
      </c>
      <c r="S5" s="327"/>
      <c r="T5" s="327"/>
      <c r="U5" s="327"/>
      <c r="V5" s="327"/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7"/>
      <c r="AO5" t="s">
        <v>534</v>
      </c>
      <c r="AP5">
        <f>CurrentLevel*(BodySkillPoints + BrainSkillPoints)</f>
        <v>0</v>
      </c>
    </row>
    <row r="6" spans="2:42" ht="16.2" thickBot="1" x14ac:dyDescent="0.35">
      <c r="B6" s="28" t="s">
        <v>491</v>
      </c>
      <c r="C6" s="28"/>
      <c r="D6" s="222" t="s">
        <v>567</v>
      </c>
      <c r="F6" s="166"/>
      <c r="G6" s="166" t="s">
        <v>0</v>
      </c>
      <c r="H6" s="165">
        <v>100</v>
      </c>
      <c r="I6" s="165"/>
      <c r="J6" s="180">
        <f>INDEX(StatBonus,StrengthStat)</f>
        <v>10</v>
      </c>
      <c r="K6" s="165"/>
      <c r="L6" s="180">
        <f>GetRaceBonus(SelectedRace, 1)</f>
        <v>3</v>
      </c>
      <c r="M6" s="165"/>
      <c r="N6" s="215">
        <f>J6+L6</f>
        <v>13</v>
      </c>
      <c r="O6" s="165"/>
      <c r="P6" s="194">
        <f>INDEX(SkillPoints,H6)</f>
        <v>7</v>
      </c>
      <c r="R6" s="165"/>
      <c r="S6" s="166" t="s">
        <v>503</v>
      </c>
      <c r="T6" s="166">
        <f>MATCH(S6,SkillList,)</f>
        <v>16</v>
      </c>
      <c r="U6" s="167" t="s">
        <v>1</v>
      </c>
      <c r="V6" s="167">
        <v>0</v>
      </c>
      <c r="W6" s="167">
        <v>0</v>
      </c>
      <c r="X6" s="237">
        <f>V6+W6</f>
        <v>0</v>
      </c>
      <c r="Y6" s="165"/>
      <c r="Z6" s="165">
        <v>0</v>
      </c>
      <c r="AA6" s="257" t="str">
        <f>GetNextSkillCost(SelectedProfession,S6,V6,T6)</f>
        <v>3</v>
      </c>
      <c r="AB6" s="165"/>
      <c r="AC6" s="237">
        <f>INDEX(SkillLevelBonus,X6+1)</f>
        <v>-5</v>
      </c>
      <c r="AD6" s="165"/>
      <c r="AE6" s="238">
        <f>AE7</f>
        <v>6</v>
      </c>
      <c r="AF6" s="165"/>
      <c r="AG6" s="245"/>
      <c r="AH6" s="165"/>
      <c r="AI6" s="245"/>
      <c r="AJ6" s="165"/>
      <c r="AK6" s="241">
        <f>formatstat(SUM(AC6:AI6))</f>
        <v>1</v>
      </c>
      <c r="AO6" t="s">
        <v>535</v>
      </c>
      <c r="AP6">
        <v>0</v>
      </c>
    </row>
    <row r="7" spans="2:42" ht="16.2" thickBot="1" x14ac:dyDescent="0.35">
      <c r="B7" s="28" t="s">
        <v>533</v>
      </c>
      <c r="C7" s="28"/>
      <c r="D7" s="222" t="s">
        <v>400</v>
      </c>
      <c r="F7" s="166"/>
      <c r="G7" s="166" t="s">
        <v>1</v>
      </c>
      <c r="H7" s="181">
        <v>95</v>
      </c>
      <c r="I7" s="165"/>
      <c r="J7" s="180">
        <f>INDEX(StatBonus,AgilityStat)</f>
        <v>4</v>
      </c>
      <c r="K7" s="165"/>
      <c r="L7" s="182">
        <f>GetRaceBonus(SelectedRace, 2)</f>
        <v>0</v>
      </c>
      <c r="M7" s="165"/>
      <c r="N7" s="215">
        <f t="shared" ref="N7:N8" si="0">J7+L7</f>
        <v>4</v>
      </c>
      <c r="O7" s="165"/>
      <c r="P7" s="165">
        <f>INDEX(SkillPoints,H7)</f>
        <v>4</v>
      </c>
      <c r="R7" s="165"/>
      <c r="S7" s="166" t="s">
        <v>426</v>
      </c>
      <c r="T7" s="166">
        <f>MATCH(S7,SkillList,)</f>
        <v>17</v>
      </c>
      <c r="U7" s="167" t="s">
        <v>2</v>
      </c>
      <c r="V7" s="167">
        <v>0</v>
      </c>
      <c r="W7" s="167">
        <v>0</v>
      </c>
      <c r="X7" s="237">
        <f t="shared" ref="X7:X10" si="1">V7+W7</f>
        <v>0</v>
      </c>
      <c r="Y7" s="165"/>
      <c r="Z7" s="165">
        <v>0</v>
      </c>
      <c r="AA7" s="257" t="str">
        <f>GetNextSkillCost(SelectedProfession,S7,V7,T7)</f>
        <v>5</v>
      </c>
      <c r="AB7" s="165"/>
      <c r="AC7" s="237">
        <f>INDEX(SkillLevelBonus,X7+1)</f>
        <v>-5</v>
      </c>
      <c r="AD7" s="165"/>
      <c r="AE7" s="238">
        <f>N8</f>
        <v>6</v>
      </c>
      <c r="AF7" s="165"/>
      <c r="AG7" s="246"/>
      <c r="AH7" s="165"/>
      <c r="AI7" s="165"/>
      <c r="AJ7" s="165"/>
      <c r="AK7" s="241">
        <f t="shared" ref="AK7:AK26" si="2">formatstat(SUM(AC7:AI7))</f>
        <v>1</v>
      </c>
      <c r="AO7" t="s">
        <v>564</v>
      </c>
      <c r="AP7">
        <v>0</v>
      </c>
    </row>
    <row r="8" spans="2:42" ht="16.2" thickBot="1" x14ac:dyDescent="0.35">
      <c r="F8" s="166"/>
      <c r="G8" s="166" t="s">
        <v>2</v>
      </c>
      <c r="H8" s="181">
        <v>95</v>
      </c>
      <c r="I8" s="165"/>
      <c r="J8" s="180">
        <f>INDEX(StatBonus,ConstitutionStat)</f>
        <v>4</v>
      </c>
      <c r="K8" s="165"/>
      <c r="L8" s="165">
        <f>GetRaceBonus(SelectedRace, 3)</f>
        <v>2</v>
      </c>
      <c r="M8" s="165"/>
      <c r="N8" s="179">
        <f t="shared" si="0"/>
        <v>6</v>
      </c>
      <c r="O8" s="165"/>
      <c r="P8" s="184">
        <f>INDEX(SkillPoints,H8)</f>
        <v>4</v>
      </c>
      <c r="R8" s="165"/>
      <c r="S8" s="166" t="s">
        <v>427</v>
      </c>
      <c r="T8" s="166">
        <f>MATCH(S8,SkillList,)</f>
        <v>18</v>
      </c>
      <c r="U8" s="167" t="s">
        <v>1</v>
      </c>
      <c r="V8" s="167">
        <v>0</v>
      </c>
      <c r="W8" s="167">
        <v>0</v>
      </c>
      <c r="X8" s="237">
        <f t="shared" si="1"/>
        <v>0</v>
      </c>
      <c r="Y8" s="165"/>
      <c r="Z8" s="165">
        <v>0</v>
      </c>
      <c r="AA8" s="257" t="str">
        <f>GetNextSkillCost(SelectedProfession,S8,V8,T8)</f>
        <v>5</v>
      </c>
      <c r="AB8" s="165"/>
      <c r="AC8" s="237">
        <f>INDEX(SkillLevelBonus,X8+1)</f>
        <v>-5</v>
      </c>
      <c r="AD8" s="165"/>
      <c r="AE8" s="238">
        <v>2</v>
      </c>
      <c r="AF8" s="165"/>
      <c r="AG8" s="165"/>
      <c r="AH8" s="165"/>
      <c r="AI8" s="244"/>
      <c r="AJ8" s="165"/>
      <c r="AK8" s="253">
        <f t="shared" si="2"/>
        <v>-3</v>
      </c>
    </row>
    <row r="9" spans="2:42" ht="16.2" thickBot="1" x14ac:dyDescent="0.35">
      <c r="F9" s="166"/>
      <c r="G9" s="166"/>
      <c r="H9" s="181"/>
      <c r="I9" s="165"/>
      <c r="J9" s="181"/>
      <c r="K9" s="165"/>
      <c r="L9" s="181"/>
      <c r="M9" s="165"/>
      <c r="N9" s="214">
        <f>AVERAGE(N6:N8)</f>
        <v>7.666666666666667</v>
      </c>
      <c r="O9" s="165"/>
      <c r="P9" s="184">
        <f>SUM(P6:P8)</f>
        <v>15</v>
      </c>
      <c r="R9" s="165"/>
      <c r="S9" s="166" t="s">
        <v>428</v>
      </c>
      <c r="T9" s="166">
        <f>MATCH(S9,SkillList,)</f>
        <v>19</v>
      </c>
      <c r="U9" s="167" t="s">
        <v>0</v>
      </c>
      <c r="V9" s="167">
        <v>0</v>
      </c>
      <c r="W9" s="167">
        <v>0</v>
      </c>
      <c r="X9" s="237">
        <f t="shared" si="1"/>
        <v>0</v>
      </c>
      <c r="Y9" s="165"/>
      <c r="Z9" s="165">
        <v>0</v>
      </c>
      <c r="AA9" s="257" t="str">
        <f>GetNextSkillCost(SelectedProfession,S9,V9,T9)</f>
        <v>4</v>
      </c>
      <c r="AB9" s="165"/>
      <c r="AC9" s="237">
        <f>INDEX(SkillLevelBonus,X9+1)</f>
        <v>-5</v>
      </c>
      <c r="AD9" s="165"/>
      <c r="AE9" s="238">
        <f>N6</f>
        <v>13</v>
      </c>
      <c r="AF9" s="165"/>
      <c r="AG9" s="244"/>
      <c r="AH9" s="165"/>
      <c r="AI9" s="246"/>
      <c r="AJ9" s="165"/>
      <c r="AK9" s="241">
        <f t="shared" si="2"/>
        <v>8</v>
      </c>
    </row>
    <row r="10" spans="2:42" ht="16.2" thickBot="1" x14ac:dyDescent="0.35">
      <c r="R10" s="165"/>
      <c r="S10" s="166" t="s">
        <v>552</v>
      </c>
      <c r="T10" s="166">
        <f>MATCH(S10,SkillList,)</f>
        <v>20</v>
      </c>
      <c r="U10" s="167" t="s">
        <v>5</v>
      </c>
      <c r="V10" s="167">
        <v>0</v>
      </c>
      <c r="W10" s="167">
        <v>1</v>
      </c>
      <c r="X10" s="237">
        <f t="shared" si="1"/>
        <v>1</v>
      </c>
      <c r="Y10" s="165"/>
      <c r="Z10" s="165">
        <v>0</v>
      </c>
      <c r="AA10" s="257" t="str">
        <f>GetNextSkillCost(SelectedProfession,S10,V10,T10)</f>
        <v/>
      </c>
      <c r="AB10" s="165"/>
      <c r="AC10" s="237">
        <f>INDEX(SkillLevelBonus,X10+1)</f>
        <v>5</v>
      </c>
      <c r="AD10" s="165"/>
      <c r="AE10" s="238">
        <f>N9</f>
        <v>7.666666666666667</v>
      </c>
      <c r="AF10" s="165"/>
      <c r="AG10" s="244"/>
      <c r="AH10" s="165"/>
      <c r="AI10" s="165"/>
      <c r="AJ10" s="165"/>
      <c r="AK10" s="241">
        <f t="shared" si="2"/>
        <v>13</v>
      </c>
    </row>
    <row r="11" spans="2:42" ht="3.6" customHeight="1" x14ac:dyDescent="0.25">
      <c r="X11" s="231"/>
      <c r="Y11" s="163"/>
      <c r="Z11" s="163"/>
      <c r="AA11" s="255"/>
      <c r="AB11" s="163"/>
      <c r="AG11" s="247"/>
      <c r="AI11" s="247"/>
      <c r="AK11" s="190"/>
    </row>
    <row r="12" spans="2:42" ht="14.4" thickBot="1" x14ac:dyDescent="0.3">
      <c r="B12" s="28" t="s">
        <v>518</v>
      </c>
      <c r="C12" s="28"/>
      <c r="D12" s="222"/>
      <c r="F12" s="173" t="s">
        <v>498</v>
      </c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R12" s="324" t="s">
        <v>498</v>
      </c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42" ht="16.2" thickBot="1" x14ac:dyDescent="0.35">
      <c r="F13" s="169"/>
      <c r="G13" s="169" t="s">
        <v>3</v>
      </c>
      <c r="H13" s="168">
        <v>60</v>
      </c>
      <c r="I13" s="168"/>
      <c r="J13" s="175">
        <f>INDEX(StatBonus,IntelligenceStat)</f>
        <v>1</v>
      </c>
      <c r="K13" s="168"/>
      <c r="L13" s="175">
        <f>GetRaceBonus(SelectedRace,4)</f>
        <v>-3</v>
      </c>
      <c r="M13" s="168"/>
      <c r="N13" s="213">
        <f>J13+L13</f>
        <v>-2</v>
      </c>
      <c r="O13" s="168"/>
      <c r="P13" s="197">
        <f>INDEX(SkillPoints,H13)</f>
        <v>1</v>
      </c>
      <c r="R13" s="168"/>
      <c r="S13" s="169" t="s">
        <v>27</v>
      </c>
      <c r="T13" s="166">
        <f t="shared" ref="T13:T19" si="3">MATCH(S13,SkillList,)</f>
        <v>23</v>
      </c>
      <c r="U13" s="170" t="s">
        <v>4</v>
      </c>
      <c r="V13" s="170">
        <v>0</v>
      </c>
      <c r="W13" s="170">
        <v>0</v>
      </c>
      <c r="X13" s="235">
        <f>V13+W13</f>
        <v>0</v>
      </c>
      <c r="Y13" s="168"/>
      <c r="Z13" s="168">
        <v>0</v>
      </c>
      <c r="AA13" s="258" t="str">
        <f t="shared" ref="AA13:AA19" si="4">GetNextSkillCost(SelectedProfession,S13,V13,T13)</f>
        <v>20</v>
      </c>
      <c r="AB13" s="168"/>
      <c r="AC13" s="235">
        <f t="shared" ref="AC13:AC19" si="5">INDEX(SkillLevelBonus,X13+1)</f>
        <v>-5</v>
      </c>
      <c r="AD13" s="168"/>
      <c r="AE13" s="236">
        <f>N14</f>
        <v>1</v>
      </c>
      <c r="AF13" s="168"/>
      <c r="AG13" s="168"/>
      <c r="AH13" s="168"/>
      <c r="AI13" s="168"/>
      <c r="AJ13" s="168"/>
      <c r="AK13" s="242">
        <f t="shared" si="2"/>
        <v>-4</v>
      </c>
    </row>
    <row r="14" spans="2:42" ht="16.2" thickBot="1" x14ac:dyDescent="0.35">
      <c r="B14" s="28" t="s">
        <v>519</v>
      </c>
      <c r="C14" s="28"/>
      <c r="D14" s="222"/>
      <c r="F14" s="169"/>
      <c r="G14" s="169" t="s">
        <v>4</v>
      </c>
      <c r="H14" s="176">
        <v>76</v>
      </c>
      <c r="I14" s="168"/>
      <c r="J14" s="177">
        <f>INDEX(StatBonus,PresenceStat)</f>
        <v>2</v>
      </c>
      <c r="K14" s="168"/>
      <c r="L14" s="177">
        <f>GetRaceBonus(SelectedRace,5)</f>
        <v>-1</v>
      </c>
      <c r="M14" s="168"/>
      <c r="N14" s="174">
        <f t="shared" ref="N14:N15" si="6">J14+L14</f>
        <v>1</v>
      </c>
      <c r="O14" s="168"/>
      <c r="P14" s="168">
        <f>INDEX(SkillPoints,H14)</f>
        <v>2</v>
      </c>
      <c r="R14" s="168"/>
      <c r="S14" s="169" t="s">
        <v>28</v>
      </c>
      <c r="T14" s="166">
        <f t="shared" si="3"/>
        <v>24</v>
      </c>
      <c r="U14" s="170" t="s">
        <v>3</v>
      </c>
      <c r="V14" s="170">
        <v>0</v>
      </c>
      <c r="W14" s="170">
        <v>0</v>
      </c>
      <c r="X14" s="235">
        <f t="shared" ref="X14:X19" si="7">V14+W14</f>
        <v>0</v>
      </c>
      <c r="Y14" s="168"/>
      <c r="Z14" s="168">
        <v>0</v>
      </c>
      <c r="AA14" s="258" t="str">
        <f t="shared" si="4"/>
        <v>15</v>
      </c>
      <c r="AB14" s="168"/>
      <c r="AC14" s="235">
        <f t="shared" si="5"/>
        <v>-5</v>
      </c>
      <c r="AD14" s="168"/>
      <c r="AE14" s="236">
        <f>N13</f>
        <v>-2</v>
      </c>
      <c r="AF14" s="168"/>
      <c r="AG14" s="249"/>
      <c r="AH14" s="168"/>
      <c r="AI14" s="248"/>
      <c r="AJ14" s="168"/>
      <c r="AK14" s="242">
        <f t="shared" si="2"/>
        <v>-7</v>
      </c>
    </row>
    <row r="15" spans="2:42" ht="16.2" thickBot="1" x14ac:dyDescent="0.35">
      <c r="F15" s="169"/>
      <c r="G15" s="169" t="s">
        <v>7</v>
      </c>
      <c r="H15" s="176">
        <v>51</v>
      </c>
      <c r="I15" s="168"/>
      <c r="J15" s="177">
        <f>INDEX(StatBonus,PietyStat)</f>
        <v>1</v>
      </c>
      <c r="K15" s="168"/>
      <c r="L15" s="168">
        <f>GetRaceBonus(SelectedRace,6)</f>
        <v>0</v>
      </c>
      <c r="M15" s="168"/>
      <c r="N15" s="212">
        <f t="shared" si="6"/>
        <v>1</v>
      </c>
      <c r="O15" s="168"/>
      <c r="P15" s="185">
        <f>INDEX(SkillPoints,H15)</f>
        <v>1</v>
      </c>
      <c r="R15" s="168"/>
      <c r="S15" s="169" t="s">
        <v>29</v>
      </c>
      <c r="T15" s="166">
        <f t="shared" si="3"/>
        <v>25</v>
      </c>
      <c r="U15" s="170" t="s">
        <v>76</v>
      </c>
      <c r="V15" s="170">
        <v>0</v>
      </c>
      <c r="W15" s="170">
        <v>0</v>
      </c>
      <c r="X15" s="235">
        <f t="shared" si="7"/>
        <v>0</v>
      </c>
      <c r="Y15" s="168"/>
      <c r="Z15" s="168">
        <v>0</v>
      </c>
      <c r="AA15" s="258" t="str">
        <f t="shared" si="4"/>
        <v>15</v>
      </c>
      <c r="AB15" s="168"/>
      <c r="AC15" s="235">
        <f t="shared" si="5"/>
        <v>-5</v>
      </c>
      <c r="AD15" s="168"/>
      <c r="AE15" s="236">
        <f>(N14+N15)/2</f>
        <v>1</v>
      </c>
      <c r="AF15" s="168"/>
      <c r="AG15" s="168"/>
      <c r="AH15" s="168"/>
      <c r="AI15" s="248"/>
      <c r="AJ15" s="168"/>
      <c r="AK15" s="242">
        <f t="shared" si="2"/>
        <v>-4</v>
      </c>
    </row>
    <row r="16" spans="2:42" ht="16.2" thickBot="1" x14ac:dyDescent="0.35">
      <c r="B16" s="28" t="s">
        <v>520</v>
      </c>
      <c r="C16" s="28"/>
      <c r="D16" s="222"/>
      <c r="F16" s="168"/>
      <c r="G16" s="168"/>
      <c r="H16" s="176"/>
      <c r="I16" s="168"/>
      <c r="J16" s="168"/>
      <c r="K16" s="168"/>
      <c r="L16" s="176"/>
      <c r="M16" s="168"/>
      <c r="N16" s="211">
        <f>AVERAGE(N13:N15)</f>
        <v>0</v>
      </c>
      <c r="O16" s="168"/>
      <c r="P16" s="185">
        <f>SUM(P13:P15)</f>
        <v>4</v>
      </c>
      <c r="R16" s="168"/>
      <c r="S16" s="169" t="s">
        <v>30</v>
      </c>
      <c r="T16" s="166">
        <f t="shared" si="3"/>
        <v>26</v>
      </c>
      <c r="U16" s="170" t="s">
        <v>3</v>
      </c>
      <c r="V16" s="170"/>
      <c r="W16" s="170">
        <v>0</v>
      </c>
      <c r="X16" s="235">
        <f t="shared" si="7"/>
        <v>0</v>
      </c>
      <c r="Y16" s="168"/>
      <c r="Z16" s="168"/>
      <c r="AA16" s="258" t="str">
        <f t="shared" si="4"/>
        <v/>
      </c>
      <c r="AB16" s="168"/>
      <c r="AC16" s="235">
        <f t="shared" si="5"/>
        <v>-5</v>
      </c>
      <c r="AD16" s="168"/>
      <c r="AE16" s="236">
        <f>N13</f>
        <v>-2</v>
      </c>
      <c r="AF16" s="168"/>
      <c r="AG16" s="248"/>
      <c r="AH16" s="168"/>
      <c r="AI16" s="248"/>
      <c r="AJ16" s="168"/>
      <c r="AK16" s="242">
        <f t="shared" si="2"/>
        <v>-7</v>
      </c>
    </row>
    <row r="17" spans="2:37" ht="16.2" thickBot="1" x14ac:dyDescent="0.35">
      <c r="R17" s="168"/>
      <c r="S17" s="168" t="s">
        <v>49</v>
      </c>
      <c r="T17" s="166">
        <f t="shared" si="3"/>
        <v>27</v>
      </c>
      <c r="U17" s="170" t="s">
        <v>3</v>
      </c>
      <c r="V17" s="170"/>
      <c r="W17" s="170">
        <v>0</v>
      </c>
      <c r="X17" s="235">
        <f t="shared" si="7"/>
        <v>0</v>
      </c>
      <c r="Y17" s="168"/>
      <c r="Z17" s="168"/>
      <c r="AA17" s="258" t="str">
        <f t="shared" si="4"/>
        <v>15</v>
      </c>
      <c r="AB17" s="168"/>
      <c r="AC17" s="235">
        <f t="shared" si="5"/>
        <v>-5</v>
      </c>
      <c r="AD17" s="168"/>
      <c r="AE17" s="236">
        <f>N13</f>
        <v>-2</v>
      </c>
      <c r="AF17" s="168"/>
      <c r="AG17" s="248"/>
      <c r="AH17" s="168"/>
      <c r="AI17" s="249"/>
      <c r="AJ17" s="168"/>
      <c r="AK17" s="242">
        <f>formatstat(SUM(AC17:AI17))</f>
        <v>-7</v>
      </c>
    </row>
    <row r="18" spans="2:37" ht="16.2" thickBot="1" x14ac:dyDescent="0.35">
      <c r="B18" s="28" t="s">
        <v>521</v>
      </c>
      <c r="C18" s="28"/>
      <c r="D18" s="222"/>
      <c r="R18" s="168"/>
      <c r="S18" s="168" t="s">
        <v>50</v>
      </c>
      <c r="T18" s="166">
        <f t="shared" si="3"/>
        <v>28</v>
      </c>
      <c r="U18" s="170" t="s">
        <v>4</v>
      </c>
      <c r="V18" s="170"/>
      <c r="W18" s="170">
        <v>0</v>
      </c>
      <c r="X18" s="235">
        <f t="shared" si="7"/>
        <v>0</v>
      </c>
      <c r="Y18" s="168"/>
      <c r="Z18" s="168"/>
      <c r="AA18" s="258" t="str">
        <f t="shared" si="4"/>
        <v>17</v>
      </c>
      <c r="AB18" s="168"/>
      <c r="AC18" s="235">
        <f t="shared" si="5"/>
        <v>-5</v>
      </c>
      <c r="AD18" s="168"/>
      <c r="AE18" s="236">
        <f>N14</f>
        <v>1</v>
      </c>
      <c r="AF18" s="168"/>
      <c r="AG18" s="248"/>
      <c r="AH18" s="168"/>
      <c r="AI18" s="168"/>
      <c r="AJ18" s="168"/>
      <c r="AK18" s="242">
        <f>formatstat(SUM(AC18:AI18))</f>
        <v>-4</v>
      </c>
    </row>
    <row r="19" spans="2:37" ht="16.2" thickBot="1" x14ac:dyDescent="0.35">
      <c r="R19" s="168"/>
      <c r="S19" s="169" t="s">
        <v>553</v>
      </c>
      <c r="T19" s="166">
        <f t="shared" si="3"/>
        <v>29</v>
      </c>
      <c r="U19" s="170" t="s">
        <v>498</v>
      </c>
      <c r="V19" s="170"/>
      <c r="W19" s="170">
        <v>0</v>
      </c>
      <c r="X19" s="235">
        <f t="shared" si="7"/>
        <v>0</v>
      </c>
      <c r="Y19" s="168"/>
      <c r="Z19" s="168"/>
      <c r="AA19" s="258" t="str">
        <f t="shared" si="4"/>
        <v/>
      </c>
      <c r="AB19" s="168"/>
      <c r="AC19" s="235">
        <f t="shared" si="5"/>
        <v>-5</v>
      </c>
      <c r="AD19" s="168"/>
      <c r="AE19" s="236">
        <f>N16</f>
        <v>0</v>
      </c>
      <c r="AF19" s="168"/>
      <c r="AG19" s="249"/>
      <c r="AH19" s="168"/>
      <c r="AI19" s="248"/>
      <c r="AJ19" s="168"/>
      <c r="AK19" s="242">
        <f t="shared" si="2"/>
        <v>-5</v>
      </c>
    </row>
    <row r="20" spans="2:37" ht="3.6" customHeight="1" x14ac:dyDescent="0.25">
      <c r="X20" s="231"/>
      <c r="Y20" s="163"/>
      <c r="Z20" s="163"/>
      <c r="AA20" s="255"/>
      <c r="AB20" s="163"/>
      <c r="AC20" s="231"/>
      <c r="AD20" s="163"/>
      <c r="AF20" s="163"/>
      <c r="AG20" s="163"/>
      <c r="AH20" s="163"/>
      <c r="AI20" s="247"/>
      <c r="AJ20" s="163"/>
      <c r="AK20" s="190"/>
    </row>
    <row r="21" spans="2:37" ht="14.4" thickBot="1" x14ac:dyDescent="0.3">
      <c r="B21" s="28" t="s">
        <v>522</v>
      </c>
      <c r="C21" s="28"/>
      <c r="D21" s="222"/>
      <c r="F21" s="326" t="s">
        <v>79</v>
      </c>
      <c r="G21" s="326"/>
      <c r="H21" s="262"/>
      <c r="I21" s="262"/>
      <c r="J21" s="263" t="s">
        <v>493</v>
      </c>
      <c r="K21" s="263"/>
      <c r="L21" s="263" t="s">
        <v>490</v>
      </c>
      <c r="M21" s="263"/>
      <c r="N21" s="263" t="s">
        <v>525</v>
      </c>
      <c r="R21" s="328" t="s">
        <v>387</v>
      </c>
      <c r="S21" s="328"/>
      <c r="T21" s="328"/>
      <c r="U21" s="328"/>
      <c r="V21" s="328"/>
      <c r="W21" s="328"/>
      <c r="X21" s="328"/>
      <c r="Y21" s="328"/>
      <c r="Z21" s="328"/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16.2" thickBot="1" x14ac:dyDescent="0.35">
      <c r="F22" s="171"/>
      <c r="G22" s="216" t="s">
        <v>80</v>
      </c>
      <c r="H22" s="206" t="s">
        <v>528</v>
      </c>
      <c r="I22" s="171"/>
      <c r="J22" s="171">
        <f>INDEX(StatBonus,StrengthStat)</f>
        <v>10</v>
      </c>
      <c r="K22" s="171"/>
      <c r="L22" s="195">
        <f>GetRaceResistanceBonus(SelectedRace,G22)</f>
        <v>2</v>
      </c>
      <c r="M22" s="171"/>
      <c r="N22" s="208">
        <f>J22+L22</f>
        <v>12</v>
      </c>
      <c r="R22" s="172"/>
      <c r="S22" s="217" t="s">
        <v>31</v>
      </c>
      <c r="T22" s="166">
        <f>MATCH(S22,SkillList,)</f>
        <v>32</v>
      </c>
      <c r="U22" s="183" t="s">
        <v>69</v>
      </c>
      <c r="V22" s="183"/>
      <c r="W22" s="183">
        <v>0</v>
      </c>
      <c r="X22" s="239">
        <f>V22+W22</f>
        <v>0</v>
      </c>
      <c r="Y22" s="172"/>
      <c r="Z22" s="172"/>
      <c r="AA22" s="259" t="str">
        <f>GetNextSkillCost(SelectedProfession,S22,V22,T22)</f>
        <v>15</v>
      </c>
      <c r="AB22" s="172"/>
      <c r="AC22" s="239">
        <f>INDEX(SkillLevelBonus,X22+1)</f>
        <v>-5</v>
      </c>
      <c r="AD22" s="172"/>
      <c r="AE22" s="240">
        <f>(N7+N14)/2</f>
        <v>2.5</v>
      </c>
      <c r="AF22" s="172"/>
      <c r="AG22" s="172"/>
      <c r="AH22" s="172"/>
      <c r="AI22" s="251"/>
      <c r="AJ22" s="172"/>
      <c r="AK22" s="243">
        <f t="shared" si="2"/>
        <v>-2</v>
      </c>
    </row>
    <row r="23" spans="2:37" ht="16.2" thickBot="1" x14ac:dyDescent="0.35">
      <c r="B23" s="28" t="s">
        <v>523</v>
      </c>
      <c r="C23" s="28"/>
      <c r="D23" s="222"/>
      <c r="F23" s="171"/>
      <c r="G23" s="216" t="s">
        <v>81</v>
      </c>
      <c r="H23" s="206" t="s">
        <v>529</v>
      </c>
      <c r="I23" s="171"/>
      <c r="J23" s="196">
        <f>INDEX(StatBonus,ConstitutionStat)</f>
        <v>4</v>
      </c>
      <c r="K23" s="171"/>
      <c r="L23" s="171">
        <f>GetRaceResistanceBonus(SelectedRace,G23)</f>
        <v>2</v>
      </c>
      <c r="M23" s="171"/>
      <c r="N23" s="209">
        <f t="shared" ref="N23:N26" si="8">J23+L23</f>
        <v>6</v>
      </c>
      <c r="R23" s="172"/>
      <c r="S23" s="217" t="s">
        <v>35</v>
      </c>
      <c r="T23" s="166">
        <f>MATCH(S23,SkillList,)</f>
        <v>33</v>
      </c>
      <c r="U23" s="183" t="s">
        <v>70</v>
      </c>
      <c r="V23" s="183"/>
      <c r="W23" s="183">
        <v>0</v>
      </c>
      <c r="X23" s="239">
        <f t="shared" ref="X23:X26" si="9">V23+W23</f>
        <v>0</v>
      </c>
      <c r="Y23" s="172"/>
      <c r="Z23" s="172"/>
      <c r="AA23" s="259" t="str">
        <f>GetNextSkillCost(SelectedProfession,S23,V23,T23)</f>
        <v>10</v>
      </c>
      <c r="AB23" s="172"/>
      <c r="AC23" s="239">
        <f>INDEX(SkillLevelBonus,X23+1)</f>
        <v>-5</v>
      </c>
      <c r="AD23" s="172"/>
      <c r="AE23" s="240">
        <f>(N7+N13)/2</f>
        <v>1</v>
      </c>
      <c r="AF23" s="172"/>
      <c r="AG23" s="250"/>
      <c r="AH23" s="172"/>
      <c r="AI23" s="172"/>
      <c r="AJ23" s="172"/>
      <c r="AK23" s="243">
        <f t="shared" si="2"/>
        <v>-4</v>
      </c>
    </row>
    <row r="24" spans="2:37" ht="16.2" thickBot="1" x14ac:dyDescent="0.35">
      <c r="F24" s="171"/>
      <c r="G24" s="216" t="s">
        <v>82</v>
      </c>
      <c r="H24" s="206" t="s">
        <v>530</v>
      </c>
      <c r="I24" s="171"/>
      <c r="J24" s="207">
        <f>INDEX(StatBonus,IntelligenceStat)</f>
        <v>1</v>
      </c>
      <c r="K24" s="171"/>
      <c r="L24" s="196">
        <f>GetRaceResistanceBonus(SelectedRace,G24)</f>
        <v>-2</v>
      </c>
      <c r="M24" s="171"/>
      <c r="N24" s="209">
        <f t="shared" si="8"/>
        <v>-1</v>
      </c>
      <c r="R24" s="172"/>
      <c r="S24" s="217" t="s">
        <v>36</v>
      </c>
      <c r="T24" s="166">
        <f>MATCH(S24,SkillList,)</f>
        <v>34</v>
      </c>
      <c r="U24" s="183" t="s">
        <v>71</v>
      </c>
      <c r="V24" s="183"/>
      <c r="W24" s="183">
        <v>0</v>
      </c>
      <c r="X24" s="239">
        <f t="shared" si="9"/>
        <v>0</v>
      </c>
      <c r="Y24" s="172"/>
      <c r="Z24" s="172"/>
      <c r="AA24" s="259" t="str">
        <f>GetNextSkillCost(SelectedProfession,S24,V24,T24)</f>
        <v>5</v>
      </c>
      <c r="AB24" s="172"/>
      <c r="AC24" s="239">
        <f>INDEX(SkillLevelBonus,X24+1)</f>
        <v>-5</v>
      </c>
      <c r="AD24" s="172"/>
      <c r="AE24" s="240">
        <f>(N8+N14)/2</f>
        <v>3.5</v>
      </c>
      <c r="AF24" s="172"/>
      <c r="AG24" s="250"/>
      <c r="AH24" s="172"/>
      <c r="AI24" s="250"/>
      <c r="AJ24" s="172"/>
      <c r="AK24" s="243">
        <f t="shared" si="2"/>
        <v>-2</v>
      </c>
    </row>
    <row r="25" spans="2:37" ht="16.2" thickBot="1" x14ac:dyDescent="0.35">
      <c r="F25" s="171"/>
      <c r="G25" s="216" t="s">
        <v>53</v>
      </c>
      <c r="H25" s="206" t="s">
        <v>531</v>
      </c>
      <c r="I25" s="171"/>
      <c r="J25" s="171">
        <f>INDEX(StatBonus,PresenceStat)</f>
        <v>2</v>
      </c>
      <c r="K25" s="171"/>
      <c r="L25" s="196">
        <f>GetRaceResistanceBonus(SelectedRace,G25)</f>
        <v>-1</v>
      </c>
      <c r="M25" s="171"/>
      <c r="N25" s="209">
        <f t="shared" si="8"/>
        <v>1</v>
      </c>
      <c r="R25" s="172"/>
      <c r="S25" s="217" t="s">
        <v>37</v>
      </c>
      <c r="T25" s="166">
        <f>MATCH(S25,SkillList,)</f>
        <v>35</v>
      </c>
      <c r="U25" s="183" t="s">
        <v>69</v>
      </c>
      <c r="V25" s="183"/>
      <c r="W25" s="183">
        <v>0</v>
      </c>
      <c r="X25" s="239">
        <f t="shared" si="9"/>
        <v>0</v>
      </c>
      <c r="Y25" s="172"/>
      <c r="Z25" s="172"/>
      <c r="AA25" s="259" t="str">
        <f>GetNextSkillCost(SelectedProfession,S25,V25,T25)</f>
        <v>10</v>
      </c>
      <c r="AB25" s="172"/>
      <c r="AC25" s="239">
        <f>INDEX(SkillLevelBonus,X25+1)</f>
        <v>-5</v>
      </c>
      <c r="AD25" s="172"/>
      <c r="AE25" s="240">
        <f>(N7+N14)/2</f>
        <v>2.5</v>
      </c>
      <c r="AF25" s="172"/>
      <c r="AG25" s="250"/>
      <c r="AH25" s="172"/>
      <c r="AI25" s="250"/>
      <c r="AJ25" s="172"/>
      <c r="AK25" s="243">
        <f t="shared" si="2"/>
        <v>-2</v>
      </c>
    </row>
    <row r="26" spans="2:37" ht="16.2" thickBot="1" x14ac:dyDescent="0.35">
      <c r="F26" s="171"/>
      <c r="G26" s="216" t="s">
        <v>83</v>
      </c>
      <c r="H26" s="206" t="s">
        <v>532</v>
      </c>
      <c r="I26" s="171"/>
      <c r="J26" s="196">
        <f>INDEX(StatBonus,PietyStat)</f>
        <v>1</v>
      </c>
      <c r="K26" s="171"/>
      <c r="L26" s="196">
        <f>GetRaceResistanceBonus(SelectedRace,G26)</f>
        <v>0</v>
      </c>
      <c r="M26" s="171"/>
      <c r="N26" s="171">
        <f t="shared" si="8"/>
        <v>1</v>
      </c>
      <c r="R26" s="172"/>
      <c r="S26" s="217" t="s">
        <v>554</v>
      </c>
      <c r="T26" s="166">
        <f>MATCH(S26,SkillList,)</f>
        <v>36</v>
      </c>
      <c r="U26" s="183" t="s">
        <v>72</v>
      </c>
      <c r="V26" s="183"/>
      <c r="W26" s="183">
        <v>0</v>
      </c>
      <c r="X26" s="239">
        <f t="shared" si="9"/>
        <v>0</v>
      </c>
      <c r="Y26" s="172"/>
      <c r="Z26" s="172"/>
      <c r="AA26" s="259" t="str">
        <f>GetNextSkillCost(SelectedProfession,S26,V26,T26)</f>
        <v/>
      </c>
      <c r="AB26" s="172"/>
      <c r="AC26" s="239">
        <f>INDEX(SkillLevelBonus,X26+1)</f>
        <v>-5</v>
      </c>
      <c r="AD26" s="172"/>
      <c r="AE26" s="240">
        <f>(N9+N16)/2</f>
        <v>3.8333333333333335</v>
      </c>
      <c r="AF26" s="172"/>
      <c r="AG26" s="252"/>
      <c r="AH26" s="172"/>
      <c r="AI26" s="252"/>
      <c r="AJ26" s="172"/>
      <c r="AK26" s="243">
        <f t="shared" si="2"/>
        <v>-1</v>
      </c>
    </row>
    <row r="27" spans="2:37" ht="3.6" customHeight="1" x14ac:dyDescent="0.25">
      <c r="J27" s="157"/>
      <c r="L27" s="157"/>
      <c r="N27" s="210"/>
    </row>
    <row r="28" spans="2:37" ht="14.4" thickBot="1" x14ac:dyDescent="0.3">
      <c r="R28" s="327" t="s">
        <v>38</v>
      </c>
      <c r="S28" s="327"/>
      <c r="T28" s="327"/>
      <c r="U28" s="327"/>
      <c r="V28" s="327"/>
      <c r="W28" s="327"/>
      <c r="X28" s="327"/>
      <c r="Y28" s="327"/>
      <c r="Z28" s="327"/>
      <c r="AA28" s="327"/>
      <c r="AB28" s="327"/>
      <c r="AC28" s="327"/>
      <c r="AD28" s="327"/>
      <c r="AE28" s="327"/>
      <c r="AF28" s="327"/>
      <c r="AG28" s="327"/>
      <c r="AH28" s="327"/>
      <c r="AI28" s="327"/>
      <c r="AJ28" s="327"/>
      <c r="AK28" s="327"/>
    </row>
    <row r="29" spans="2:37" ht="16.2" thickBot="1" x14ac:dyDescent="0.35">
      <c r="R29" s="192"/>
      <c r="S29" s="218" t="s">
        <v>509</v>
      </c>
      <c r="T29" s="166">
        <f t="shared" ref="T29:T36" si="10">MATCH(S29,SkillList,)</f>
        <v>39</v>
      </c>
      <c r="U29" s="193" t="s">
        <v>1</v>
      </c>
      <c r="V29" s="193">
        <v>0</v>
      </c>
      <c r="W29" s="193">
        <v>0</v>
      </c>
      <c r="X29" s="237">
        <f>V29+W29</f>
        <v>0</v>
      </c>
      <c r="Y29" s="165"/>
      <c r="Z29" s="165">
        <v>0</v>
      </c>
      <c r="AA29" s="257" t="str">
        <f t="shared" ref="AA29:AA36" si="11">GetNextSkillCost(SelectedProfession,S29,V29,T29)</f>
        <v>1</v>
      </c>
      <c r="AB29" s="165"/>
      <c r="AC29" s="237">
        <f t="shared" ref="AC29:AC36" si="12">INDEX(SkillLevelBonus,X29+1)</f>
        <v>-5</v>
      </c>
      <c r="AD29" s="165"/>
      <c r="AE29" s="238">
        <f>AgilityBonus</f>
        <v>4</v>
      </c>
      <c r="AF29" s="165"/>
      <c r="AG29" s="245"/>
      <c r="AH29" s="165"/>
      <c r="AI29" s="245"/>
      <c r="AJ29" s="165"/>
      <c r="AK29" s="253">
        <f t="shared" ref="AK29:AK36" si="13">formatstat(SUM(AC29:AI29))</f>
        <v>-1</v>
      </c>
    </row>
    <row r="30" spans="2:37" ht="16.2" thickBot="1" x14ac:dyDescent="0.35">
      <c r="R30" s="192"/>
      <c r="S30" s="218" t="s">
        <v>276</v>
      </c>
      <c r="T30" s="166">
        <f t="shared" si="10"/>
        <v>40</v>
      </c>
      <c r="U30" s="193" t="s">
        <v>1</v>
      </c>
      <c r="V30" s="193">
        <v>0</v>
      </c>
      <c r="W30" s="193">
        <v>0</v>
      </c>
      <c r="X30" s="237">
        <f t="shared" ref="X30:X36" si="14">V30+W30</f>
        <v>0</v>
      </c>
      <c r="Y30" s="165"/>
      <c r="Z30" s="165">
        <v>0</v>
      </c>
      <c r="AA30" s="257" t="str">
        <f t="shared" si="11"/>
        <v>1</v>
      </c>
      <c r="AB30" s="165"/>
      <c r="AC30" s="237">
        <f t="shared" si="12"/>
        <v>-5</v>
      </c>
      <c r="AD30" s="165"/>
      <c r="AE30" s="238">
        <f>AgilityBonus</f>
        <v>4</v>
      </c>
      <c r="AF30" s="165"/>
      <c r="AG30" s="165"/>
      <c r="AH30" s="165"/>
      <c r="AI30" s="165"/>
      <c r="AJ30" s="165"/>
      <c r="AK30" s="253">
        <f t="shared" si="13"/>
        <v>-1</v>
      </c>
    </row>
    <row r="31" spans="2:37" ht="16.2" thickBot="1" x14ac:dyDescent="0.35">
      <c r="R31" s="192"/>
      <c r="S31" s="218" t="s">
        <v>42</v>
      </c>
      <c r="T31" s="166">
        <f t="shared" si="10"/>
        <v>41</v>
      </c>
      <c r="U31" s="193" t="s">
        <v>73</v>
      </c>
      <c r="V31" s="193"/>
      <c r="W31" s="193">
        <v>0</v>
      </c>
      <c r="X31" s="237">
        <f t="shared" si="14"/>
        <v>0</v>
      </c>
      <c r="Y31" s="165"/>
      <c r="Z31" s="165"/>
      <c r="AA31" s="257" t="str">
        <f t="shared" si="11"/>
        <v>2</v>
      </c>
      <c r="AB31" s="165"/>
      <c r="AC31" s="237">
        <f t="shared" si="12"/>
        <v>-5</v>
      </c>
      <c r="AD31" s="165"/>
      <c r="AE31" s="238">
        <f>AVERAGE(AgilityBonus,StrengthBonus)</f>
        <v>8.5</v>
      </c>
      <c r="AF31" s="165"/>
      <c r="AG31" s="244"/>
      <c r="AH31" s="165"/>
      <c r="AI31" s="246"/>
      <c r="AJ31" s="165"/>
      <c r="AK31" s="241">
        <f t="shared" si="13"/>
        <v>4</v>
      </c>
    </row>
    <row r="32" spans="2:37" ht="16.2" thickBot="1" x14ac:dyDescent="0.35">
      <c r="R32" s="192"/>
      <c r="S32" s="218" t="s">
        <v>43</v>
      </c>
      <c r="T32" s="166">
        <f t="shared" si="10"/>
        <v>42</v>
      </c>
      <c r="U32" s="193" t="s">
        <v>74</v>
      </c>
      <c r="V32" s="193">
        <v>0</v>
      </c>
      <c r="W32" s="193">
        <v>1</v>
      </c>
      <c r="X32" s="237">
        <f t="shared" si="14"/>
        <v>1</v>
      </c>
      <c r="Y32" s="165"/>
      <c r="Z32" s="165">
        <v>0</v>
      </c>
      <c r="AA32" s="257" t="str">
        <f t="shared" si="11"/>
        <v>4</v>
      </c>
      <c r="AB32" s="165"/>
      <c r="AC32" s="237">
        <f t="shared" si="12"/>
        <v>5</v>
      </c>
      <c r="AD32" s="165"/>
      <c r="AE32" s="238">
        <f>AVERAGE(AgilityBonus,ConstitutionBonus)</f>
        <v>5</v>
      </c>
      <c r="AF32" s="165"/>
      <c r="AG32" s="244"/>
      <c r="AH32" s="165"/>
      <c r="AI32" s="165"/>
      <c r="AJ32" s="165"/>
      <c r="AK32" s="241">
        <f t="shared" si="13"/>
        <v>10</v>
      </c>
    </row>
    <row r="33" spans="18:37" ht="16.2" thickBot="1" x14ac:dyDescent="0.35">
      <c r="R33" s="192"/>
      <c r="S33" s="218" t="s">
        <v>44</v>
      </c>
      <c r="T33" s="166">
        <f t="shared" si="10"/>
        <v>43</v>
      </c>
      <c r="U33" s="193" t="s">
        <v>0</v>
      </c>
      <c r="V33" s="193"/>
      <c r="W33" s="193">
        <v>2</v>
      </c>
      <c r="X33" s="237">
        <f t="shared" si="14"/>
        <v>2</v>
      </c>
      <c r="Y33" s="165"/>
      <c r="Z33" s="165"/>
      <c r="AA33" s="257" t="str">
        <f t="shared" si="11"/>
        <v>-</v>
      </c>
      <c r="AB33" s="165"/>
      <c r="AC33" s="237">
        <f t="shared" si="12"/>
        <v>10</v>
      </c>
      <c r="AD33" s="165"/>
      <c r="AE33" s="238">
        <f>StrengthBonus</f>
        <v>13</v>
      </c>
      <c r="AF33" s="165"/>
      <c r="AG33" s="244"/>
      <c r="AH33" s="165"/>
      <c r="AI33" s="246"/>
      <c r="AJ33" s="165"/>
      <c r="AK33" s="241">
        <f t="shared" si="13"/>
        <v>23</v>
      </c>
    </row>
    <row r="34" spans="18:37" ht="16.2" thickBot="1" x14ac:dyDescent="0.35">
      <c r="R34" s="192"/>
      <c r="S34" s="218" t="s">
        <v>45</v>
      </c>
      <c r="T34" s="166">
        <f t="shared" si="10"/>
        <v>44</v>
      </c>
      <c r="U34" s="193" t="s">
        <v>75</v>
      </c>
      <c r="V34" s="193"/>
      <c r="W34" s="193">
        <v>0</v>
      </c>
      <c r="X34" s="237">
        <f t="shared" si="14"/>
        <v>0</v>
      </c>
      <c r="Y34" s="165"/>
      <c r="Z34" s="165"/>
      <c r="AA34" s="257" t="str">
        <f t="shared" si="11"/>
        <v>1</v>
      </c>
      <c r="AB34" s="165"/>
      <c r="AC34" s="237">
        <f t="shared" si="12"/>
        <v>-5</v>
      </c>
      <c r="AD34" s="165"/>
      <c r="AE34" s="238">
        <f>AVERAGE(StrengthBonus,ConstitutionBonus)</f>
        <v>9.5</v>
      </c>
      <c r="AF34" s="165"/>
      <c r="AG34" s="244"/>
      <c r="AH34" s="165"/>
      <c r="AI34" s="165"/>
      <c r="AJ34" s="165"/>
      <c r="AK34" s="241">
        <f t="shared" si="13"/>
        <v>4</v>
      </c>
    </row>
    <row r="35" spans="18:37" ht="16.2" thickBot="1" x14ac:dyDescent="0.35">
      <c r="R35" s="192"/>
      <c r="S35" s="218" t="s">
        <v>46</v>
      </c>
      <c r="T35" s="166">
        <f t="shared" si="10"/>
        <v>45</v>
      </c>
      <c r="U35" s="193" t="s">
        <v>0</v>
      </c>
      <c r="V35" s="193"/>
      <c r="W35" s="193">
        <v>1</v>
      </c>
      <c r="X35" s="237">
        <f t="shared" si="14"/>
        <v>1</v>
      </c>
      <c r="Y35" s="165"/>
      <c r="Z35" s="165"/>
      <c r="AA35" s="257" t="str">
        <f t="shared" si="11"/>
        <v>-</v>
      </c>
      <c r="AB35" s="165"/>
      <c r="AC35" s="237">
        <f t="shared" si="12"/>
        <v>5</v>
      </c>
      <c r="AD35" s="165"/>
      <c r="AE35" s="238">
        <f>StrengthBonus</f>
        <v>13</v>
      </c>
      <c r="AF35" s="165"/>
      <c r="AG35" s="244"/>
      <c r="AH35" s="165"/>
      <c r="AI35" s="244"/>
      <c r="AJ35" s="165"/>
      <c r="AK35" s="241">
        <f t="shared" si="13"/>
        <v>18</v>
      </c>
    </row>
    <row r="36" spans="18:37" ht="16.2" thickBot="1" x14ac:dyDescent="0.35">
      <c r="R36" s="192"/>
      <c r="S36" s="218" t="s">
        <v>47</v>
      </c>
      <c r="T36" s="166">
        <f t="shared" si="10"/>
        <v>46</v>
      </c>
      <c r="U36" s="193" t="s">
        <v>0</v>
      </c>
      <c r="V36" s="193"/>
      <c r="W36" s="193">
        <v>0</v>
      </c>
      <c r="X36" s="237">
        <f t="shared" si="14"/>
        <v>0</v>
      </c>
      <c r="Y36" s="165"/>
      <c r="Z36" s="165"/>
      <c r="AA36" s="257" t="str">
        <f t="shared" si="11"/>
        <v/>
      </c>
      <c r="AB36" s="165"/>
      <c r="AC36" s="237">
        <f t="shared" si="12"/>
        <v>-5</v>
      </c>
      <c r="AD36" s="165"/>
      <c r="AE36" s="238">
        <f>StrengthBonus</f>
        <v>13</v>
      </c>
      <c r="AF36" s="165"/>
      <c r="AG36" s="244"/>
      <c r="AH36" s="165"/>
      <c r="AI36" s="244"/>
      <c r="AJ36" s="165"/>
      <c r="AK36" s="241">
        <f t="shared" si="13"/>
        <v>8</v>
      </c>
    </row>
    <row r="37" spans="18:37" ht="3.6" customHeight="1" x14ac:dyDescent="0.25">
      <c r="AA37" s="260"/>
      <c r="AG37" s="247"/>
      <c r="AI37" s="247"/>
      <c r="AK37" s="190"/>
    </row>
    <row r="38" spans="18:37" ht="14.4" thickBot="1" x14ac:dyDescent="0.3">
      <c r="R38" s="327" t="s">
        <v>508</v>
      </c>
      <c r="S38" s="327"/>
      <c r="T38" s="327"/>
      <c r="U38" s="327"/>
      <c r="V38" s="327"/>
      <c r="W38" s="327"/>
      <c r="X38" s="327"/>
      <c r="Y38" s="327"/>
      <c r="Z38" s="327"/>
      <c r="AA38" s="327"/>
      <c r="AB38" s="327"/>
      <c r="AC38" s="327"/>
      <c r="AD38" s="327"/>
      <c r="AE38" s="327"/>
      <c r="AF38" s="327"/>
      <c r="AG38" s="327"/>
      <c r="AH38" s="327"/>
      <c r="AI38" s="327"/>
      <c r="AJ38" s="327"/>
      <c r="AK38" s="327"/>
    </row>
    <row r="39" spans="18:37" ht="16.2" thickBot="1" x14ac:dyDescent="0.35">
      <c r="R39" s="165"/>
      <c r="S39" s="218" t="s">
        <v>510</v>
      </c>
      <c r="T39" s="166">
        <f t="shared" ref="T39:T44" si="15">MATCH(S39,SkillList,)</f>
        <v>3</v>
      </c>
      <c r="U39" s="193" t="s">
        <v>0</v>
      </c>
      <c r="V39" s="193">
        <v>0</v>
      </c>
      <c r="W39" s="193">
        <v>4</v>
      </c>
      <c r="X39" s="237">
        <f>V39+W39</f>
        <v>4</v>
      </c>
      <c r="Y39" s="165"/>
      <c r="Z39" s="165">
        <v>0</v>
      </c>
      <c r="AA39" s="257" t="str">
        <f t="shared" ref="AA39:AA44" si="16">GetNextSkillCost(SelectedProfession,S39,V39,T39)</f>
        <v>2</v>
      </c>
      <c r="AB39" s="165"/>
      <c r="AC39" s="237">
        <f t="shared" ref="AC39:AC44" si="17">INDEX(SkillLevelBonus,X39+1)</f>
        <v>19</v>
      </c>
      <c r="AD39" s="165"/>
      <c r="AE39" s="238">
        <f>StrengthBonus</f>
        <v>13</v>
      </c>
      <c r="AF39" s="165"/>
      <c r="AG39" s="245"/>
      <c r="AH39" s="165"/>
      <c r="AI39" s="245"/>
      <c r="AJ39" s="165"/>
      <c r="AK39" s="241">
        <f t="shared" ref="AK39:AK44" si="18">formatstat(SUM(AC39:AI39))</f>
        <v>32</v>
      </c>
    </row>
    <row r="40" spans="18:37" ht="16.2" thickBot="1" x14ac:dyDescent="0.35">
      <c r="R40" s="165"/>
      <c r="S40" s="218" t="s">
        <v>511</v>
      </c>
      <c r="T40" s="166">
        <f t="shared" si="15"/>
        <v>4</v>
      </c>
      <c r="U40" s="193" t="s">
        <v>1</v>
      </c>
      <c r="V40" s="193"/>
      <c r="W40" s="193">
        <v>3</v>
      </c>
      <c r="X40" s="237">
        <f t="shared" ref="X40:X44" si="19">V40+W40</f>
        <v>3</v>
      </c>
      <c r="Y40" s="165"/>
      <c r="Z40" s="165"/>
      <c r="AA40" s="257" t="str">
        <f t="shared" si="16"/>
        <v/>
      </c>
      <c r="AB40" s="165"/>
      <c r="AC40" s="237">
        <f t="shared" si="17"/>
        <v>15</v>
      </c>
      <c r="AD40" s="165"/>
      <c r="AE40" s="238">
        <f>AgilityBonus</f>
        <v>4</v>
      </c>
      <c r="AF40" s="165"/>
      <c r="AG40" s="165"/>
      <c r="AH40" s="165"/>
      <c r="AI40" s="246"/>
      <c r="AJ40" s="165"/>
      <c r="AK40" s="241">
        <f t="shared" si="18"/>
        <v>19</v>
      </c>
    </row>
    <row r="41" spans="18:37" ht="16.2" thickBot="1" x14ac:dyDescent="0.35">
      <c r="R41" s="165"/>
      <c r="S41" s="218" t="s">
        <v>512</v>
      </c>
      <c r="T41" s="166">
        <f t="shared" si="15"/>
        <v>6</v>
      </c>
      <c r="U41" s="193" t="s">
        <v>0</v>
      </c>
      <c r="V41" s="193"/>
      <c r="W41" s="193">
        <v>3</v>
      </c>
      <c r="X41" s="237">
        <f t="shared" si="19"/>
        <v>3</v>
      </c>
      <c r="Y41" s="165"/>
      <c r="Z41" s="165"/>
      <c r="AA41" s="257" t="str">
        <f t="shared" si="16"/>
        <v>4</v>
      </c>
      <c r="AB41" s="165"/>
      <c r="AC41" s="237">
        <f t="shared" si="17"/>
        <v>15</v>
      </c>
      <c r="AD41" s="165"/>
      <c r="AE41" s="238">
        <f>StrengthBonus</f>
        <v>13</v>
      </c>
      <c r="AF41" s="165"/>
      <c r="AG41" s="244"/>
      <c r="AH41" s="165"/>
      <c r="AI41" s="246"/>
      <c r="AJ41" s="165"/>
      <c r="AK41" s="241">
        <f t="shared" si="18"/>
        <v>28</v>
      </c>
    </row>
    <row r="42" spans="18:37" ht="16.2" thickBot="1" x14ac:dyDescent="0.35">
      <c r="R42" s="165"/>
      <c r="S42" s="218" t="s">
        <v>513</v>
      </c>
      <c r="T42" s="166">
        <f t="shared" si="15"/>
        <v>7</v>
      </c>
      <c r="U42" s="193" t="s">
        <v>1</v>
      </c>
      <c r="V42" s="193"/>
      <c r="W42" s="193">
        <v>0</v>
      </c>
      <c r="X42" s="237">
        <f t="shared" si="19"/>
        <v>0</v>
      </c>
      <c r="Y42" s="165"/>
      <c r="Z42" s="165"/>
      <c r="AA42" s="257" t="str">
        <f t="shared" si="16"/>
        <v/>
      </c>
      <c r="AB42" s="165"/>
      <c r="AC42" s="237">
        <f t="shared" si="17"/>
        <v>-5</v>
      </c>
      <c r="AD42" s="165"/>
      <c r="AE42" s="238">
        <f>AgilityBonus</f>
        <v>4</v>
      </c>
      <c r="AF42" s="165"/>
      <c r="AG42" s="246"/>
      <c r="AH42" s="165"/>
      <c r="AI42" s="246"/>
      <c r="AJ42" s="165"/>
      <c r="AK42" s="253">
        <f t="shared" si="18"/>
        <v>-1</v>
      </c>
    </row>
    <row r="43" spans="18:37" ht="16.2" thickBot="1" x14ac:dyDescent="0.35">
      <c r="R43" s="165"/>
      <c r="S43" s="218" t="s">
        <v>514</v>
      </c>
      <c r="T43" s="166">
        <f t="shared" si="15"/>
        <v>9</v>
      </c>
      <c r="U43" s="193" t="s">
        <v>0</v>
      </c>
      <c r="V43" s="193">
        <v>0</v>
      </c>
      <c r="W43" s="193">
        <v>0</v>
      </c>
      <c r="X43" s="237">
        <f t="shared" si="19"/>
        <v>0</v>
      </c>
      <c r="Y43" s="165"/>
      <c r="Z43" s="165">
        <v>0</v>
      </c>
      <c r="AA43" s="257" t="str">
        <f t="shared" si="16"/>
        <v>9</v>
      </c>
      <c r="AB43" s="165"/>
      <c r="AC43" s="237">
        <f t="shared" si="17"/>
        <v>-5</v>
      </c>
      <c r="AD43" s="165"/>
      <c r="AE43" s="238">
        <f>StrengthBonus</f>
        <v>13</v>
      </c>
      <c r="AF43" s="165"/>
      <c r="AG43" s="246"/>
      <c r="AH43" s="165"/>
      <c r="AI43" s="246"/>
      <c r="AJ43" s="165"/>
      <c r="AK43" s="241">
        <f t="shared" si="18"/>
        <v>8</v>
      </c>
    </row>
    <row r="44" spans="18:37" ht="16.2" thickBot="1" x14ac:dyDescent="0.35">
      <c r="R44" s="165"/>
      <c r="S44" s="218" t="s">
        <v>515</v>
      </c>
      <c r="T44" s="166">
        <f t="shared" si="15"/>
        <v>10</v>
      </c>
      <c r="U44" s="193" t="s">
        <v>1</v>
      </c>
      <c r="V44" s="193"/>
      <c r="W44" s="193">
        <v>0</v>
      </c>
      <c r="X44" s="237">
        <f t="shared" si="19"/>
        <v>0</v>
      </c>
      <c r="Y44" s="165"/>
      <c r="Z44" s="165"/>
      <c r="AA44" s="257" t="str">
        <f t="shared" si="16"/>
        <v/>
      </c>
      <c r="AB44" s="165"/>
      <c r="AC44" s="237">
        <f t="shared" si="17"/>
        <v>-5</v>
      </c>
      <c r="AD44" s="165"/>
      <c r="AE44" s="238">
        <f>AgilityBonus</f>
        <v>4</v>
      </c>
      <c r="AF44" s="165"/>
      <c r="AG44" s="165"/>
      <c r="AH44" s="165"/>
      <c r="AI44" s="246"/>
      <c r="AJ44" s="165"/>
      <c r="AK44" s="253">
        <f t="shared" si="18"/>
        <v>-1</v>
      </c>
    </row>
    <row r="45" spans="18:37" ht="3.6" customHeight="1" x14ac:dyDescent="0.25">
      <c r="AA45" s="260"/>
      <c r="AG45" s="247"/>
      <c r="AK45" s="190"/>
    </row>
    <row r="46" spans="18:37" ht="14.4" thickBot="1" x14ac:dyDescent="0.3">
      <c r="R46" s="324" t="s">
        <v>516</v>
      </c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18:37" ht="16.2" thickBot="1" x14ac:dyDescent="0.35">
      <c r="R47" s="168"/>
      <c r="S47" s="219" t="s">
        <v>51</v>
      </c>
      <c r="T47" s="166">
        <f t="shared" ref="T47:T52" si="20">MATCH(S47,SkillList,)</f>
        <v>49</v>
      </c>
      <c r="U47" s="191" t="s">
        <v>3</v>
      </c>
      <c r="V47" s="191"/>
      <c r="W47" s="191">
        <v>0</v>
      </c>
      <c r="X47" s="235">
        <f>V47+W47</f>
        <v>0</v>
      </c>
      <c r="Y47" s="168"/>
      <c r="Z47" s="168"/>
      <c r="AA47" s="258" t="str">
        <f t="shared" ref="AA47:AA52" si="21">GetNextSkillCost(SelectedProfession,S47,V47,T47)</f>
        <v>-</v>
      </c>
      <c r="AB47" s="168"/>
      <c r="AC47" s="235">
        <f t="shared" ref="AC47:AC52" si="22">INDEX(SkillLevelBonus,X47+1)</f>
        <v>-5</v>
      </c>
      <c r="AD47" s="168"/>
      <c r="AE47" s="236">
        <f>IntelligenceBonus</f>
        <v>-2</v>
      </c>
      <c r="AF47" s="168"/>
      <c r="AG47" s="254"/>
      <c r="AH47" s="168"/>
      <c r="AI47" s="254"/>
      <c r="AJ47" s="168"/>
      <c r="AK47" s="242">
        <f t="shared" ref="AK47" si="23">formatstat(SUM(AC47:AI47))</f>
        <v>-7</v>
      </c>
    </row>
    <row r="48" spans="18:37" ht="16.2" thickBot="1" x14ac:dyDescent="0.35">
      <c r="R48" s="168"/>
      <c r="S48" s="219" t="s">
        <v>53</v>
      </c>
      <c r="T48" s="166">
        <f t="shared" si="20"/>
        <v>50</v>
      </c>
      <c r="U48" s="191" t="s">
        <v>4</v>
      </c>
      <c r="V48" s="191"/>
      <c r="W48" s="191">
        <v>0</v>
      </c>
      <c r="X48" s="235">
        <f t="shared" ref="X48:X52" si="24">V48+W48</f>
        <v>0</v>
      </c>
      <c r="Y48" s="168"/>
      <c r="Z48" s="168"/>
      <c r="AA48" s="258" t="str">
        <f t="shared" si="21"/>
        <v>-</v>
      </c>
      <c r="AB48" s="168"/>
      <c r="AC48" s="235">
        <f t="shared" si="22"/>
        <v>-5</v>
      </c>
      <c r="AD48" s="168"/>
      <c r="AE48" s="236">
        <f>PresenceBonus</f>
        <v>1</v>
      </c>
      <c r="AF48" s="168"/>
      <c r="AG48" s="249"/>
      <c r="AH48" s="168"/>
      <c r="AI48" s="249"/>
      <c r="AJ48" s="168"/>
      <c r="AK48" s="242">
        <f t="shared" ref="AK48:AK52" si="25">formatstat(SUM(AC48:AI48))</f>
        <v>-4</v>
      </c>
    </row>
    <row r="49" spans="6:37" ht="16.2" thickBot="1" x14ac:dyDescent="0.35">
      <c r="F49" s="325" t="s">
        <v>524</v>
      </c>
      <c r="G49" s="325"/>
      <c r="H49" s="264"/>
      <c r="I49" s="198"/>
      <c r="J49" s="198"/>
      <c r="K49" s="198"/>
      <c r="L49" s="198"/>
      <c r="M49" s="198"/>
      <c r="N49" s="198"/>
      <c r="O49" s="198"/>
      <c r="P49" s="199"/>
      <c r="R49" s="168"/>
      <c r="S49" s="219" t="s">
        <v>52</v>
      </c>
      <c r="T49" s="166">
        <f t="shared" si="20"/>
        <v>51</v>
      </c>
      <c r="U49" s="191" t="s">
        <v>7</v>
      </c>
      <c r="V49" s="191"/>
      <c r="W49" s="191">
        <v>0</v>
      </c>
      <c r="X49" s="235">
        <f t="shared" si="24"/>
        <v>0</v>
      </c>
      <c r="Y49" s="168"/>
      <c r="Z49" s="168"/>
      <c r="AA49" s="258" t="str">
        <f t="shared" si="21"/>
        <v>-</v>
      </c>
      <c r="AB49" s="168"/>
      <c r="AC49" s="235">
        <f t="shared" si="22"/>
        <v>-5</v>
      </c>
      <c r="AD49" s="168"/>
      <c r="AE49" s="236">
        <f>PietyBonus</f>
        <v>1</v>
      </c>
      <c r="AF49" s="168"/>
      <c r="AG49" s="249"/>
      <c r="AH49" s="168"/>
      <c r="AI49" s="249"/>
      <c r="AJ49" s="168"/>
      <c r="AK49" s="242">
        <f t="shared" si="25"/>
        <v>-4</v>
      </c>
    </row>
    <row r="50" spans="6:37" ht="16.2" thickBot="1" x14ac:dyDescent="0.35">
      <c r="F50" s="200"/>
      <c r="G50" s="220" t="s">
        <v>527</v>
      </c>
      <c r="H50" s="201">
        <v>77</v>
      </c>
      <c r="I50" s="201"/>
      <c r="J50" s="201"/>
      <c r="K50" s="201"/>
      <c r="L50" s="201"/>
      <c r="M50" s="201"/>
      <c r="N50" s="201"/>
      <c r="O50" s="201"/>
      <c r="P50" s="202"/>
      <c r="R50" s="168"/>
      <c r="S50" s="219" t="s">
        <v>148</v>
      </c>
      <c r="T50" s="166">
        <f t="shared" si="20"/>
        <v>53</v>
      </c>
      <c r="U50" s="191" t="s">
        <v>7</v>
      </c>
      <c r="V50" s="191"/>
      <c r="W50" s="191">
        <v>0</v>
      </c>
      <c r="X50" s="235">
        <f t="shared" si="24"/>
        <v>0</v>
      </c>
      <c r="Y50" s="168"/>
      <c r="Z50" s="168"/>
      <c r="AA50" s="258" t="str">
        <f t="shared" si="21"/>
        <v>-</v>
      </c>
      <c r="AB50" s="168"/>
      <c r="AC50" s="235">
        <f t="shared" si="22"/>
        <v>-5</v>
      </c>
      <c r="AD50" s="168"/>
      <c r="AE50" s="236">
        <f>PietyBonus</f>
        <v>1</v>
      </c>
      <c r="AF50" s="168"/>
      <c r="AG50" s="249"/>
      <c r="AH50" s="168"/>
      <c r="AI50" s="249"/>
      <c r="AJ50" s="168"/>
      <c r="AK50" s="242">
        <f t="shared" si="25"/>
        <v>-4</v>
      </c>
    </row>
    <row r="51" spans="6:37" ht="16.2" thickBot="1" x14ac:dyDescent="0.35">
      <c r="F51" s="200"/>
      <c r="G51" s="220" t="s">
        <v>525</v>
      </c>
      <c r="H51" s="201">
        <f>RolledTotal+400</f>
        <v>477</v>
      </c>
      <c r="I51" s="201"/>
      <c r="J51" s="201"/>
      <c r="K51" s="201"/>
      <c r="L51" s="201"/>
      <c r="M51" s="201"/>
      <c r="N51" s="201"/>
      <c r="O51" s="201"/>
      <c r="P51" s="202"/>
      <c r="R51" s="168"/>
      <c r="S51" s="219" t="s">
        <v>147</v>
      </c>
      <c r="T51" s="166">
        <f t="shared" si="20"/>
        <v>52</v>
      </c>
      <c r="U51" s="191" t="s">
        <v>3</v>
      </c>
      <c r="V51" s="191"/>
      <c r="W51" s="191">
        <v>0</v>
      </c>
      <c r="X51" s="235">
        <f t="shared" si="24"/>
        <v>0</v>
      </c>
      <c r="Y51" s="168"/>
      <c r="Z51" s="168"/>
      <c r="AA51" s="258" t="str">
        <f t="shared" si="21"/>
        <v>-</v>
      </c>
      <c r="AB51" s="168"/>
      <c r="AC51" s="235">
        <f t="shared" si="22"/>
        <v>-5</v>
      </c>
      <c r="AD51" s="168"/>
      <c r="AE51" s="236">
        <f>IntelligenceBonus</f>
        <v>-2</v>
      </c>
      <c r="AF51" s="168"/>
      <c r="AG51" s="168"/>
      <c r="AH51" s="168"/>
      <c r="AI51" s="168"/>
      <c r="AJ51" s="168"/>
      <c r="AK51" s="242">
        <f t="shared" si="25"/>
        <v>-7</v>
      </c>
    </row>
    <row r="52" spans="6:37" ht="16.2" thickBot="1" x14ac:dyDescent="0.35">
      <c r="F52" s="203"/>
      <c r="G52" s="221" t="s">
        <v>526</v>
      </c>
      <c r="H52" s="204">
        <f>H51-SUM(H6:H8)-SUM(H13:H15)</f>
        <v>0</v>
      </c>
      <c r="I52" s="204"/>
      <c r="J52" s="204"/>
      <c r="K52" s="204"/>
      <c r="L52" s="204"/>
      <c r="M52" s="204"/>
      <c r="N52" s="204"/>
      <c r="O52" s="204"/>
      <c r="P52" s="205"/>
      <c r="R52" s="168"/>
      <c r="S52" s="219" t="s">
        <v>246</v>
      </c>
      <c r="T52" s="166">
        <f t="shared" si="20"/>
        <v>54</v>
      </c>
      <c r="U52" s="191" t="s">
        <v>4</v>
      </c>
      <c r="V52" s="191"/>
      <c r="W52" s="191">
        <v>0</v>
      </c>
      <c r="X52" s="235">
        <f t="shared" si="24"/>
        <v>0</v>
      </c>
      <c r="Y52" s="168"/>
      <c r="Z52" s="168"/>
      <c r="AA52" s="258" t="str">
        <f t="shared" si="21"/>
        <v/>
      </c>
      <c r="AB52" s="168"/>
      <c r="AC52" s="235">
        <f t="shared" si="22"/>
        <v>-5</v>
      </c>
      <c r="AD52" s="168"/>
      <c r="AE52" s="236">
        <f>PresenceBonus</f>
        <v>1</v>
      </c>
      <c r="AF52" s="168"/>
      <c r="AG52" s="248"/>
      <c r="AH52" s="168"/>
      <c r="AI52" s="248"/>
      <c r="AJ52" s="168"/>
      <c r="AK52" s="242">
        <f t="shared" si="25"/>
        <v>-4</v>
      </c>
    </row>
    <row r="53" spans="6:37" x14ac:dyDescent="0.25">
      <c r="AA53" s="260"/>
      <c r="AG53" s="247"/>
      <c r="AI53" s="247"/>
      <c r="AK53" s="190"/>
    </row>
    <row r="54" spans="6:37" ht="13.8" customHeight="1" thickBot="1" x14ac:dyDescent="0.3">
      <c r="R54" s="322" t="s">
        <v>536</v>
      </c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22"/>
      <c r="AJ54" s="322"/>
      <c r="AK54" s="322"/>
    </row>
    <row r="55" spans="6:37" ht="15.6" x14ac:dyDescent="0.3">
      <c r="R55" s="164"/>
      <c r="S55" s="224" t="s">
        <v>21</v>
      </c>
      <c r="T55" s="166">
        <f>MATCH(S55,SkillList,)</f>
        <v>13</v>
      </c>
      <c r="U55" s="225" t="s">
        <v>4</v>
      </c>
      <c r="V55" s="164"/>
      <c r="W55" s="229">
        <v>2</v>
      </c>
      <c r="X55" s="227">
        <f>V55+W55</f>
        <v>2</v>
      </c>
      <c r="Y55" s="164"/>
      <c r="Z55" s="164"/>
      <c r="AA55" s="261" t="str">
        <f>GetNextSkillCost(SelectedProfession,S55,V55,T55)</f>
        <v/>
      </c>
      <c r="AB55" s="164"/>
      <c r="AC55" s="227">
        <f>INDEX(SkillLevelBonus,X55+1)</f>
        <v>10</v>
      </c>
      <c r="AD55" s="164"/>
      <c r="AE55" s="233">
        <f>PresenceBonus</f>
        <v>1</v>
      </c>
      <c r="AF55" s="164"/>
      <c r="AG55" s="164"/>
      <c r="AH55" s="164"/>
      <c r="AI55" s="164"/>
      <c r="AJ55" s="164"/>
      <c r="AK55" s="234">
        <f>AC55+AE55</f>
        <v>11</v>
      </c>
    </row>
    <row r="56" spans="6:37" ht="15.6" x14ac:dyDescent="0.3">
      <c r="R56" s="164"/>
      <c r="S56" s="224" t="s">
        <v>20</v>
      </c>
      <c r="T56" s="166">
        <f>MATCH(S56,SkillList,)</f>
        <v>12</v>
      </c>
      <c r="U56" s="225" t="s">
        <v>2</v>
      </c>
      <c r="V56" s="164"/>
      <c r="W56" s="229">
        <v>1</v>
      </c>
      <c r="X56" s="227">
        <f>V56+W56</f>
        <v>1</v>
      </c>
      <c r="Y56" s="164"/>
      <c r="Z56" s="164"/>
      <c r="AA56" s="261" t="str">
        <f>GetNextSkillCost(SelectedProfession,S56,V56,T56)</f>
        <v>1</v>
      </c>
      <c r="AB56" s="164"/>
      <c r="AC56" s="227">
        <f>INDEX(SkillLevelBonus,X56+1)</f>
        <v>5</v>
      </c>
      <c r="AD56" s="164"/>
      <c r="AE56" s="233">
        <f>ConstitutionBonus</f>
        <v>6</v>
      </c>
      <c r="AF56" s="164"/>
      <c r="AG56" s="164"/>
      <c r="AH56" s="164"/>
      <c r="AI56" s="164"/>
      <c r="AJ56" s="164"/>
      <c r="AK56" s="234">
        <f>AC56+AE56</f>
        <v>11</v>
      </c>
    </row>
    <row r="57" spans="6:37" x14ac:dyDescent="0.25">
      <c r="AA57" s="260"/>
      <c r="AK57" s="190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ignoredErrors>
    <ignoredError sqref="AE42 AE40 AE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5</xdr:row>
                    <xdr:rowOff>106680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6</xdr:row>
                    <xdr:rowOff>7620</xdr:rowOff>
                  </from>
                  <to>
                    <xdr:col>25</xdr:col>
                    <xdr:colOff>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6</xdr:row>
                    <xdr:rowOff>106680</xdr:rowOff>
                  </from>
                  <to>
                    <xdr:col>25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7</xdr:row>
                    <xdr:rowOff>7620</xdr:rowOff>
                  </from>
                  <to>
                    <xdr:col>25</xdr:col>
                    <xdr:colOff>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7</xdr:row>
                    <xdr:rowOff>106680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7620</xdr:rowOff>
                  </from>
                  <to>
                    <xdr:col>25</xdr:col>
                    <xdr:colOff>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106680</xdr:rowOff>
                  </from>
                  <to>
                    <xdr:col>25</xdr:col>
                    <xdr:colOff>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106680</xdr:rowOff>
                  </from>
                  <to>
                    <xdr:col>25</xdr:col>
                    <xdr:colOff>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106680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106680</xdr:rowOff>
                  </from>
                  <to>
                    <xdr:col>25</xdr:col>
                    <xdr:colOff>0</xdr:colOff>
                    <xdr:row>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106680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106680</xdr:rowOff>
                  </from>
                  <to>
                    <xdr:col>25</xdr:col>
                    <xdr:colOff>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106680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106680</xdr:rowOff>
                  </from>
                  <to>
                    <xdr:col>25</xdr:col>
                    <xdr:colOff>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106680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106680</xdr:rowOff>
                  </from>
                  <to>
                    <xdr:col>25</xdr:col>
                    <xdr:colOff>0</xdr:colOff>
                    <xdr:row>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106680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106680</xdr:rowOff>
                  </from>
                  <to>
                    <xdr:col>25</xdr:col>
                    <xdr:colOff>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106680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106680</xdr:rowOff>
                  </from>
                  <to>
                    <xdr:col>25</xdr:col>
                    <xdr:colOff>0</xdr:colOff>
                    <xdr:row>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106680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106680</xdr:rowOff>
                  </from>
                  <to>
                    <xdr:col>25</xdr:col>
                    <xdr:colOff>0</xdr:colOff>
                    <xdr:row>30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106680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106680</xdr:rowOff>
                  </from>
                  <to>
                    <xdr:col>25</xdr:col>
                    <xdr:colOff>0</xdr:colOff>
                    <xdr:row>32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106680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106680</xdr:rowOff>
                  </from>
                  <to>
                    <xdr:col>25</xdr:col>
                    <xdr:colOff>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106680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106680</xdr:rowOff>
                  </from>
                  <to>
                    <xdr:col>25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106680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106680</xdr:rowOff>
                  </from>
                  <to>
                    <xdr:col>25</xdr:col>
                    <xdr:colOff>0</xdr:colOff>
                    <xdr:row>40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106680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106680</xdr:rowOff>
                  </from>
                  <to>
                    <xdr:col>25</xdr:col>
                    <xdr:colOff>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106680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106680</xdr:rowOff>
                  </from>
                  <to>
                    <xdr:col>25</xdr:col>
                    <xdr:colOff>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106680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106680</xdr:rowOff>
                  </from>
                  <to>
                    <xdr:col>25</xdr:col>
                    <xdr:colOff>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106680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106680</xdr:rowOff>
                  </from>
                  <to>
                    <xdr:col>25</xdr:col>
                    <xdr:colOff>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106680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274320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OFFSET(AvailableTo,MATCH(SelectedProfession,Apprenticeships!$B$2:$B$20)-2,-1,COUNTIF(Apprenticeships!$B$2:$B$20,SelectedProfession),1)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O55"/>
  <sheetViews>
    <sheetView zoomScale="198" zoomScaleNormal="198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3.8" x14ac:dyDescent="0.25"/>
  <cols>
    <col min="1" max="1" width="19" bestFit="1" customWidth="1"/>
    <col min="2" max="2" width="20.21875" bestFit="1" customWidth="1"/>
    <col min="3" max="11" width="10.33203125" style="1" customWidth="1"/>
    <col min="12" max="12" width="13.33203125" style="1" customWidth="1"/>
    <col min="13" max="13" width="9.88671875" style="1" bestFit="1" customWidth="1"/>
    <col min="14" max="14" width="6.33203125" style="1" bestFit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25">
      <c r="A1" s="39" t="s">
        <v>258</v>
      </c>
      <c r="B1" s="40" t="s">
        <v>403</v>
      </c>
      <c r="C1" s="41" t="s">
        <v>543</v>
      </c>
      <c r="D1" s="41" t="s">
        <v>567</v>
      </c>
      <c r="E1" s="41" t="s">
        <v>13</v>
      </c>
      <c r="F1" s="41" t="s">
        <v>14</v>
      </c>
      <c r="G1" s="41" t="s">
        <v>15</v>
      </c>
      <c r="H1" s="41" t="s">
        <v>16</v>
      </c>
      <c r="I1" s="41" t="s">
        <v>19</v>
      </c>
      <c r="J1" s="41" t="s">
        <v>17</v>
      </c>
      <c r="K1" s="42" t="s">
        <v>18</v>
      </c>
    </row>
    <row r="2" spans="1:14" x14ac:dyDescent="0.25">
      <c r="A2" s="43" t="s">
        <v>8</v>
      </c>
      <c r="B2" s="44"/>
      <c r="C2" s="285"/>
      <c r="D2" s="285"/>
      <c r="E2" s="285"/>
      <c r="F2" s="285"/>
      <c r="G2" s="285"/>
      <c r="H2" s="285"/>
      <c r="I2" s="285"/>
      <c r="J2" s="285"/>
      <c r="K2" s="286"/>
      <c r="M2" s="161" t="s">
        <v>500</v>
      </c>
      <c r="N2" s="162" t="s">
        <v>85</v>
      </c>
    </row>
    <row r="3" spans="1:14" x14ac:dyDescent="0.25">
      <c r="A3" s="45" t="s">
        <v>68</v>
      </c>
      <c r="B3" s="44" t="s">
        <v>510</v>
      </c>
      <c r="C3" s="287" t="s">
        <v>59</v>
      </c>
      <c r="D3" s="287" t="s">
        <v>59</v>
      </c>
      <c r="E3" s="287" t="s">
        <v>59</v>
      </c>
      <c r="F3" s="287" t="s">
        <v>559</v>
      </c>
      <c r="G3" s="287" t="s">
        <v>559</v>
      </c>
      <c r="H3" s="287" t="s">
        <v>559</v>
      </c>
      <c r="I3" s="287">
        <v>7</v>
      </c>
      <c r="J3" s="287">
        <v>5</v>
      </c>
      <c r="K3" s="288" t="s">
        <v>559</v>
      </c>
      <c r="M3" s="159">
        <v>0</v>
      </c>
      <c r="N3" s="71">
        <v>-5</v>
      </c>
    </row>
    <row r="4" spans="1:14" x14ac:dyDescent="0.25">
      <c r="A4" s="45" t="s">
        <v>1</v>
      </c>
      <c r="B4" s="44" t="s">
        <v>511</v>
      </c>
      <c r="C4" s="285" t="s">
        <v>59</v>
      </c>
      <c r="D4" s="285" t="s">
        <v>559</v>
      </c>
      <c r="E4" s="285" t="s">
        <v>559</v>
      </c>
      <c r="F4" s="285" t="s">
        <v>59</v>
      </c>
      <c r="G4" s="285" t="s">
        <v>559</v>
      </c>
      <c r="H4" s="285">
        <v>3</v>
      </c>
      <c r="I4" s="285">
        <v>5</v>
      </c>
      <c r="J4" s="285">
        <v>10</v>
      </c>
      <c r="K4" s="286">
        <v>4</v>
      </c>
      <c r="M4" s="160">
        <v>1</v>
      </c>
      <c r="N4" s="73">
        <v>5</v>
      </c>
    </row>
    <row r="5" spans="1:14" x14ac:dyDescent="0.25">
      <c r="A5" s="45" t="s">
        <v>11</v>
      </c>
      <c r="B5" s="44"/>
      <c r="C5" s="287"/>
      <c r="D5" s="287"/>
      <c r="E5" s="287"/>
      <c r="F5" s="287"/>
      <c r="G5" s="287"/>
      <c r="H5" s="287"/>
      <c r="I5" s="287"/>
      <c r="J5" s="287"/>
      <c r="K5" s="288"/>
      <c r="M5" s="159">
        <v>2</v>
      </c>
      <c r="N5" s="71">
        <v>10</v>
      </c>
    </row>
    <row r="6" spans="1:14" x14ac:dyDescent="0.25">
      <c r="A6" s="45" t="s">
        <v>0</v>
      </c>
      <c r="B6" s="44" t="s">
        <v>512</v>
      </c>
      <c r="C6" s="285" t="s">
        <v>558</v>
      </c>
      <c r="D6" s="285" t="s">
        <v>559</v>
      </c>
      <c r="E6" s="285" t="s">
        <v>558</v>
      </c>
      <c r="F6" s="285">
        <v>4</v>
      </c>
      <c r="G6" s="285">
        <v>6</v>
      </c>
      <c r="H6" s="285">
        <v>4</v>
      </c>
      <c r="I6" s="285">
        <v>15</v>
      </c>
      <c r="J6" s="285">
        <v>15</v>
      </c>
      <c r="K6" s="286">
        <v>6</v>
      </c>
      <c r="M6" s="160">
        <v>3</v>
      </c>
      <c r="N6" s="73">
        <v>15</v>
      </c>
    </row>
    <row r="7" spans="1:14" x14ac:dyDescent="0.25">
      <c r="A7" s="45" t="s">
        <v>1</v>
      </c>
      <c r="B7" s="44" t="s">
        <v>513</v>
      </c>
      <c r="C7" s="287" t="s">
        <v>558</v>
      </c>
      <c r="D7" s="287">
        <v>4</v>
      </c>
      <c r="E7" s="287">
        <v>5</v>
      </c>
      <c r="F7" s="287" t="s">
        <v>559</v>
      </c>
      <c r="G7" s="287">
        <v>6</v>
      </c>
      <c r="H7" s="287">
        <v>6</v>
      </c>
      <c r="I7" s="287">
        <v>10</v>
      </c>
      <c r="J7" s="287">
        <v>20</v>
      </c>
      <c r="K7" s="288">
        <v>12</v>
      </c>
      <c r="M7" s="159">
        <v>4</v>
      </c>
      <c r="N7" s="71">
        <v>19</v>
      </c>
    </row>
    <row r="8" spans="1:14" x14ac:dyDescent="0.25">
      <c r="A8" s="45" t="s">
        <v>12</v>
      </c>
      <c r="B8" s="44"/>
      <c r="C8" s="285"/>
      <c r="D8" s="285"/>
      <c r="E8" s="285"/>
      <c r="F8" s="285"/>
      <c r="G8" s="285"/>
      <c r="H8" s="285"/>
      <c r="I8" s="285"/>
      <c r="J8" s="285"/>
      <c r="K8" s="286"/>
      <c r="M8" s="160">
        <v>5</v>
      </c>
      <c r="N8" s="73">
        <v>23</v>
      </c>
    </row>
    <row r="9" spans="1:14" x14ac:dyDescent="0.25">
      <c r="A9" s="45" t="s">
        <v>0</v>
      </c>
      <c r="B9" s="44" t="s">
        <v>514</v>
      </c>
      <c r="C9" s="287">
        <v>7</v>
      </c>
      <c r="D9" s="287">
        <v>4</v>
      </c>
      <c r="E9" s="287">
        <v>7</v>
      </c>
      <c r="F9" s="287">
        <v>10</v>
      </c>
      <c r="G9" s="287">
        <v>11</v>
      </c>
      <c r="H9" s="287">
        <v>12</v>
      </c>
      <c r="I9" s="287">
        <v>20</v>
      </c>
      <c r="J9" s="287">
        <v>40</v>
      </c>
      <c r="K9" s="288">
        <v>10</v>
      </c>
      <c r="M9" s="159">
        <v>6</v>
      </c>
      <c r="N9" s="71">
        <v>26</v>
      </c>
    </row>
    <row r="10" spans="1:14" x14ac:dyDescent="0.25">
      <c r="A10" s="45" t="s">
        <v>1</v>
      </c>
      <c r="B10" s="44" t="s">
        <v>515</v>
      </c>
      <c r="C10" s="285">
        <v>7</v>
      </c>
      <c r="D10" s="285">
        <v>9</v>
      </c>
      <c r="E10" s="285">
        <v>10</v>
      </c>
      <c r="F10" s="285">
        <v>4</v>
      </c>
      <c r="G10" s="285">
        <v>11</v>
      </c>
      <c r="H10" s="285">
        <v>14</v>
      </c>
      <c r="I10" s="285">
        <v>20</v>
      </c>
      <c r="J10" s="285">
        <v>40</v>
      </c>
      <c r="K10" s="286">
        <v>20</v>
      </c>
      <c r="M10" s="160">
        <v>7</v>
      </c>
      <c r="N10" s="73">
        <v>29</v>
      </c>
    </row>
    <row r="11" spans="1:14" x14ac:dyDescent="0.25">
      <c r="A11" s="45"/>
      <c r="B11" s="44"/>
      <c r="C11" s="287"/>
      <c r="D11" s="287"/>
      <c r="E11" s="287"/>
      <c r="F11" s="287"/>
      <c r="G11" s="287"/>
      <c r="H11" s="287"/>
      <c r="I11" s="287"/>
      <c r="J11" s="287"/>
      <c r="K11" s="288"/>
      <c r="M11" s="159">
        <v>8</v>
      </c>
      <c r="N11" s="71">
        <v>31</v>
      </c>
    </row>
    <row r="12" spans="1:14" x14ac:dyDescent="0.25">
      <c r="A12" s="45" t="s">
        <v>4</v>
      </c>
      <c r="B12" s="44" t="s">
        <v>20</v>
      </c>
      <c r="C12" s="285">
        <v>5</v>
      </c>
      <c r="D12" s="285">
        <v>15</v>
      </c>
      <c r="E12" s="285">
        <v>5</v>
      </c>
      <c r="F12" s="285">
        <v>1</v>
      </c>
      <c r="G12" s="285">
        <v>1</v>
      </c>
      <c r="H12" s="285">
        <v>5</v>
      </c>
      <c r="I12" s="285">
        <v>1</v>
      </c>
      <c r="J12" s="285">
        <v>5</v>
      </c>
      <c r="K12" s="286">
        <v>5</v>
      </c>
      <c r="M12" s="160">
        <v>9</v>
      </c>
      <c r="N12" s="73">
        <v>33</v>
      </c>
    </row>
    <row r="13" spans="1:14" x14ac:dyDescent="0.25">
      <c r="A13" s="45" t="s">
        <v>2</v>
      </c>
      <c r="B13" s="44" t="s">
        <v>21</v>
      </c>
      <c r="C13" s="287">
        <v>2</v>
      </c>
      <c r="D13" s="287">
        <v>1</v>
      </c>
      <c r="E13" s="287">
        <v>4</v>
      </c>
      <c r="F13" s="287">
        <v>4</v>
      </c>
      <c r="G13" s="287">
        <v>7</v>
      </c>
      <c r="H13" s="287">
        <v>6</v>
      </c>
      <c r="I13" s="287">
        <v>25</v>
      </c>
      <c r="J13" s="287">
        <v>15</v>
      </c>
      <c r="K13" s="288">
        <v>4</v>
      </c>
      <c r="M13" s="158">
        <v>10</v>
      </c>
      <c r="N13" s="38">
        <v>34</v>
      </c>
    </row>
    <row r="14" spans="1:14" x14ac:dyDescent="0.25">
      <c r="A14" s="45"/>
      <c r="B14" s="44"/>
      <c r="C14" s="285"/>
      <c r="D14" s="285"/>
      <c r="E14" s="285"/>
      <c r="F14" s="285"/>
      <c r="G14" s="285"/>
      <c r="H14" s="285"/>
      <c r="I14" s="285"/>
      <c r="J14" s="285"/>
      <c r="K14" s="286"/>
    </row>
    <row r="15" spans="1:14" x14ac:dyDescent="0.25">
      <c r="A15" s="43" t="s">
        <v>32</v>
      </c>
      <c r="B15" s="44"/>
      <c r="C15" s="287"/>
      <c r="D15" s="287"/>
      <c r="E15" s="287"/>
      <c r="F15" s="287"/>
      <c r="G15" s="287"/>
      <c r="H15" s="287"/>
      <c r="I15" s="287"/>
      <c r="J15" s="287"/>
      <c r="K15" s="288"/>
    </row>
    <row r="16" spans="1:14" x14ac:dyDescent="0.25">
      <c r="A16" s="45" t="s">
        <v>1</v>
      </c>
      <c r="B16" s="44" t="s">
        <v>503</v>
      </c>
      <c r="C16" s="285">
        <v>3</v>
      </c>
      <c r="D16" s="285">
        <v>2</v>
      </c>
      <c r="E16" s="285">
        <v>3</v>
      </c>
      <c r="F16" s="285">
        <v>2</v>
      </c>
      <c r="G16" s="285">
        <v>2</v>
      </c>
      <c r="H16" s="285">
        <v>3</v>
      </c>
      <c r="I16" s="285">
        <v>8</v>
      </c>
      <c r="J16" s="285">
        <v>6</v>
      </c>
      <c r="K16" s="286">
        <v>5</v>
      </c>
    </row>
    <row r="17" spans="1:11" x14ac:dyDescent="0.25">
      <c r="A17" s="45" t="s">
        <v>2</v>
      </c>
      <c r="B17" s="44" t="s">
        <v>426</v>
      </c>
      <c r="C17" s="287">
        <v>3</v>
      </c>
      <c r="D17" s="287">
        <v>3</v>
      </c>
      <c r="E17" s="287">
        <v>3</v>
      </c>
      <c r="F17" s="287">
        <v>2</v>
      </c>
      <c r="G17" s="287">
        <v>2</v>
      </c>
      <c r="H17" s="287">
        <v>2</v>
      </c>
      <c r="I17" s="287">
        <v>7</v>
      </c>
      <c r="J17" s="287">
        <v>5</v>
      </c>
      <c r="K17" s="288">
        <v>4</v>
      </c>
    </row>
    <row r="18" spans="1:11" x14ac:dyDescent="0.25">
      <c r="A18" s="45" t="s">
        <v>1</v>
      </c>
      <c r="B18" s="44" t="s">
        <v>427</v>
      </c>
      <c r="C18" s="285">
        <v>3</v>
      </c>
      <c r="D18" s="285">
        <v>5</v>
      </c>
      <c r="E18" s="285">
        <v>5</v>
      </c>
      <c r="F18" s="285">
        <v>1</v>
      </c>
      <c r="G18" s="285">
        <v>2</v>
      </c>
      <c r="H18" s="285">
        <v>3</v>
      </c>
      <c r="I18" s="285">
        <v>10</v>
      </c>
      <c r="J18" s="285">
        <v>7</v>
      </c>
      <c r="K18" s="286">
        <v>7</v>
      </c>
    </row>
    <row r="19" spans="1:11" x14ac:dyDescent="0.25">
      <c r="A19" s="45" t="s">
        <v>0</v>
      </c>
      <c r="B19" s="44" t="s">
        <v>428</v>
      </c>
      <c r="C19" s="287">
        <v>3</v>
      </c>
      <c r="D19" s="287">
        <v>5</v>
      </c>
      <c r="E19" s="287">
        <v>4</v>
      </c>
      <c r="F19" s="287">
        <v>1</v>
      </c>
      <c r="G19" s="287">
        <v>1</v>
      </c>
      <c r="H19" s="287">
        <v>3</v>
      </c>
      <c r="I19" s="287">
        <v>8</v>
      </c>
      <c r="J19" s="287">
        <v>8</v>
      </c>
      <c r="K19" s="288">
        <v>5</v>
      </c>
    </row>
    <row r="20" spans="1:11" x14ac:dyDescent="0.25">
      <c r="A20" s="45" t="s">
        <v>5</v>
      </c>
      <c r="B20" s="44" t="s">
        <v>552</v>
      </c>
      <c r="C20" s="285">
        <v>3</v>
      </c>
      <c r="D20" s="285">
        <v>4</v>
      </c>
      <c r="E20" s="285">
        <v>4</v>
      </c>
      <c r="F20" s="285">
        <v>2</v>
      </c>
      <c r="G20" s="285">
        <v>2</v>
      </c>
      <c r="H20" s="285">
        <v>3</v>
      </c>
      <c r="I20" s="285">
        <v>8</v>
      </c>
      <c r="J20" s="285">
        <v>7</v>
      </c>
      <c r="K20" s="286">
        <v>5</v>
      </c>
    </row>
    <row r="21" spans="1:11" x14ac:dyDescent="0.25">
      <c r="A21" s="46"/>
      <c r="B21" s="47"/>
      <c r="C21" s="287"/>
      <c r="D21" s="287"/>
      <c r="E21" s="287"/>
      <c r="F21" s="287"/>
      <c r="G21" s="287"/>
      <c r="H21" s="287"/>
      <c r="I21" s="287"/>
      <c r="J21" s="287"/>
      <c r="K21" s="288"/>
    </row>
    <row r="22" spans="1:11" x14ac:dyDescent="0.25">
      <c r="A22" s="48" t="s">
        <v>33</v>
      </c>
      <c r="B22" s="49"/>
      <c r="C22" s="285"/>
      <c r="D22" s="285"/>
      <c r="E22" s="285"/>
      <c r="F22" s="285"/>
      <c r="G22" s="285"/>
      <c r="H22" s="285"/>
      <c r="I22" s="285"/>
      <c r="J22" s="285"/>
      <c r="K22" s="286"/>
    </row>
    <row r="23" spans="1:11" x14ac:dyDescent="0.25">
      <c r="A23" s="50" t="s">
        <v>4</v>
      </c>
      <c r="B23" s="49" t="s">
        <v>27</v>
      </c>
      <c r="C23" s="287">
        <v>8</v>
      </c>
      <c r="D23" s="287">
        <v>20</v>
      </c>
      <c r="E23" s="287">
        <v>10</v>
      </c>
      <c r="F23" s="287">
        <v>2</v>
      </c>
      <c r="G23" s="287" t="s">
        <v>560</v>
      </c>
      <c r="H23" s="287">
        <v>3</v>
      </c>
      <c r="I23" s="287">
        <v>5</v>
      </c>
      <c r="J23" s="287">
        <v>3</v>
      </c>
      <c r="K23" s="288">
        <v>4</v>
      </c>
    </row>
    <row r="24" spans="1:11" x14ac:dyDescent="0.25">
      <c r="A24" s="50" t="s">
        <v>3</v>
      </c>
      <c r="B24" s="49" t="s">
        <v>28</v>
      </c>
      <c r="C24" s="285">
        <v>8</v>
      </c>
      <c r="D24" s="285">
        <v>20</v>
      </c>
      <c r="E24" s="285">
        <v>10</v>
      </c>
      <c r="F24" s="285">
        <v>4</v>
      </c>
      <c r="G24" s="285" t="s">
        <v>560</v>
      </c>
      <c r="H24" s="285">
        <v>3</v>
      </c>
      <c r="I24" s="285">
        <v>5</v>
      </c>
      <c r="J24" s="285">
        <v>3</v>
      </c>
      <c r="K24" s="286">
        <v>4</v>
      </c>
    </row>
    <row r="25" spans="1:11" x14ac:dyDescent="0.25">
      <c r="A25" s="50" t="s">
        <v>76</v>
      </c>
      <c r="B25" s="49" t="s">
        <v>29</v>
      </c>
      <c r="C25" s="287">
        <v>8</v>
      </c>
      <c r="D25" s="287">
        <v>15</v>
      </c>
      <c r="E25" s="287">
        <v>3</v>
      </c>
      <c r="F25" s="287">
        <v>4</v>
      </c>
      <c r="G25" s="287">
        <v>3</v>
      </c>
      <c r="H25" s="287" t="s">
        <v>560</v>
      </c>
      <c r="I25" s="287">
        <v>2</v>
      </c>
      <c r="J25" s="287">
        <v>4</v>
      </c>
      <c r="K25" s="288">
        <v>1</v>
      </c>
    </row>
    <row r="26" spans="1:11" x14ac:dyDescent="0.25">
      <c r="A26" s="50" t="s">
        <v>3</v>
      </c>
      <c r="B26" s="49" t="s">
        <v>30</v>
      </c>
      <c r="C26" s="285">
        <v>10</v>
      </c>
      <c r="D26" s="285">
        <v>15</v>
      </c>
      <c r="E26" s="285">
        <v>7</v>
      </c>
      <c r="F26" s="285">
        <v>10</v>
      </c>
      <c r="G26" s="285" t="s">
        <v>560</v>
      </c>
      <c r="H26" s="285">
        <v>2</v>
      </c>
      <c r="I26" s="285" t="s">
        <v>560</v>
      </c>
      <c r="J26" s="285" t="s">
        <v>560</v>
      </c>
      <c r="K26" s="286">
        <v>3</v>
      </c>
    </row>
    <row r="27" spans="1:11" x14ac:dyDescent="0.25">
      <c r="A27" s="50" t="s">
        <v>3</v>
      </c>
      <c r="B27" s="49" t="s">
        <v>49</v>
      </c>
      <c r="C27" s="287">
        <v>10</v>
      </c>
      <c r="D27" s="287"/>
      <c r="E27" s="287">
        <v>4</v>
      </c>
      <c r="F27" s="287">
        <v>5</v>
      </c>
      <c r="G27" s="287">
        <v>3</v>
      </c>
      <c r="H27" s="287">
        <v>2</v>
      </c>
      <c r="I27" s="287" t="s">
        <v>560</v>
      </c>
      <c r="J27" s="287">
        <v>2</v>
      </c>
      <c r="K27" s="288">
        <v>2</v>
      </c>
    </row>
    <row r="28" spans="1:11" x14ac:dyDescent="0.25">
      <c r="A28" s="50" t="s">
        <v>4</v>
      </c>
      <c r="B28" s="49" t="s">
        <v>50</v>
      </c>
      <c r="C28" s="285">
        <v>7</v>
      </c>
      <c r="D28" s="285">
        <v>15</v>
      </c>
      <c r="E28" s="285">
        <v>4</v>
      </c>
      <c r="F28" s="285">
        <v>5</v>
      </c>
      <c r="G28" s="285">
        <v>3</v>
      </c>
      <c r="H28" s="285" t="s">
        <v>560</v>
      </c>
      <c r="I28" s="285">
        <v>2</v>
      </c>
      <c r="J28" s="285" t="s">
        <v>560</v>
      </c>
      <c r="K28" s="286">
        <v>2</v>
      </c>
    </row>
    <row r="29" spans="1:11" x14ac:dyDescent="0.25">
      <c r="A29" s="50" t="s">
        <v>6</v>
      </c>
      <c r="B29" s="49" t="s">
        <v>553</v>
      </c>
      <c r="C29" s="287">
        <v>8</v>
      </c>
      <c r="D29" s="287">
        <v>17</v>
      </c>
      <c r="E29" s="287">
        <v>8</v>
      </c>
      <c r="F29" s="287">
        <v>5</v>
      </c>
      <c r="G29" s="287">
        <v>2</v>
      </c>
      <c r="H29" s="287">
        <v>3</v>
      </c>
      <c r="I29" s="287">
        <v>4</v>
      </c>
      <c r="J29" s="287">
        <v>3</v>
      </c>
      <c r="K29" s="288">
        <v>3</v>
      </c>
    </row>
    <row r="30" spans="1:11" x14ac:dyDescent="0.25">
      <c r="A30" s="50"/>
      <c r="B30" s="49"/>
      <c r="C30" s="285"/>
      <c r="D30" s="285"/>
      <c r="E30" s="285"/>
      <c r="F30" s="285"/>
      <c r="G30" s="285"/>
      <c r="H30" s="285"/>
      <c r="I30" s="285"/>
      <c r="J30" s="285"/>
      <c r="K30" s="286"/>
    </row>
    <row r="31" spans="1:11" x14ac:dyDescent="0.25">
      <c r="A31" s="48" t="s">
        <v>34</v>
      </c>
      <c r="B31" s="49"/>
      <c r="C31" s="287"/>
      <c r="D31" s="287"/>
      <c r="E31" s="287"/>
      <c r="F31" s="287"/>
      <c r="G31" s="287"/>
      <c r="H31" s="287"/>
      <c r="I31" s="287"/>
      <c r="J31" s="287"/>
      <c r="K31" s="288"/>
    </row>
    <row r="32" spans="1:11" x14ac:dyDescent="0.25">
      <c r="A32" s="50" t="s">
        <v>69</v>
      </c>
      <c r="B32" s="49" t="s">
        <v>31</v>
      </c>
      <c r="C32" s="285">
        <v>7</v>
      </c>
      <c r="D32" s="285">
        <v>10</v>
      </c>
      <c r="E32" s="379" t="s">
        <v>556</v>
      </c>
      <c r="F32" s="285">
        <v>4</v>
      </c>
      <c r="G32" s="285" t="s">
        <v>560</v>
      </c>
      <c r="H32" s="285">
        <v>3</v>
      </c>
      <c r="I32" s="285">
        <v>7</v>
      </c>
      <c r="J32" s="285">
        <v>6</v>
      </c>
      <c r="K32" s="380" t="s">
        <v>556</v>
      </c>
    </row>
    <row r="33" spans="1:11" x14ac:dyDescent="0.25">
      <c r="A33" s="50" t="s">
        <v>70</v>
      </c>
      <c r="B33" s="49" t="s">
        <v>35</v>
      </c>
      <c r="C33" s="287">
        <v>10</v>
      </c>
      <c r="D33" s="287">
        <v>15</v>
      </c>
      <c r="E33" s="287">
        <v>15</v>
      </c>
      <c r="F33" s="287" t="s">
        <v>560</v>
      </c>
      <c r="G33" s="287">
        <v>4</v>
      </c>
      <c r="H33" s="287">
        <v>3</v>
      </c>
      <c r="I33" s="287">
        <v>10</v>
      </c>
      <c r="J33" s="287">
        <v>6</v>
      </c>
      <c r="K33" s="288">
        <v>10</v>
      </c>
    </row>
    <row r="34" spans="1:11" x14ac:dyDescent="0.25">
      <c r="A34" s="50" t="s">
        <v>71</v>
      </c>
      <c r="B34" s="49" t="s">
        <v>36</v>
      </c>
      <c r="C34" s="285">
        <v>8</v>
      </c>
      <c r="D34" s="285">
        <v>10</v>
      </c>
      <c r="E34" s="285">
        <v>10</v>
      </c>
      <c r="F34" s="285" t="s">
        <v>560</v>
      </c>
      <c r="G34" s="285" t="s">
        <v>560</v>
      </c>
      <c r="H34" s="285">
        <v>3</v>
      </c>
      <c r="I34" s="285">
        <v>8</v>
      </c>
      <c r="J34" s="285">
        <v>6</v>
      </c>
      <c r="K34" s="286">
        <v>8</v>
      </c>
    </row>
    <row r="35" spans="1:11" x14ac:dyDescent="0.25">
      <c r="A35" s="50" t="s">
        <v>69</v>
      </c>
      <c r="B35" s="49" t="s">
        <v>37</v>
      </c>
      <c r="C35" s="287">
        <v>6</v>
      </c>
      <c r="D35" s="287">
        <v>5</v>
      </c>
      <c r="E35" s="287">
        <v>7</v>
      </c>
      <c r="F35" s="287">
        <v>2</v>
      </c>
      <c r="G35" s="287">
        <v>1</v>
      </c>
      <c r="H35" s="287">
        <v>3</v>
      </c>
      <c r="I35" s="287">
        <v>5</v>
      </c>
      <c r="J35" s="287">
        <v>5</v>
      </c>
      <c r="K35" s="288">
        <v>5</v>
      </c>
    </row>
    <row r="36" spans="1:11" x14ac:dyDescent="0.25">
      <c r="A36" s="50" t="s">
        <v>72</v>
      </c>
      <c r="B36" s="49" t="s">
        <v>554</v>
      </c>
      <c r="C36" s="285">
        <v>8</v>
      </c>
      <c r="D36" s="285">
        <v>10</v>
      </c>
      <c r="E36" s="285">
        <v>10</v>
      </c>
      <c r="F36" s="285">
        <v>3</v>
      </c>
      <c r="G36" s="285">
        <v>2</v>
      </c>
      <c r="H36" s="285">
        <v>3</v>
      </c>
      <c r="I36" s="285">
        <v>8</v>
      </c>
      <c r="J36" s="285">
        <v>6</v>
      </c>
      <c r="K36" s="286">
        <v>8</v>
      </c>
    </row>
    <row r="37" spans="1:11" x14ac:dyDescent="0.25">
      <c r="A37" s="50"/>
      <c r="B37" s="49"/>
      <c r="C37" s="287"/>
      <c r="D37" s="287"/>
      <c r="E37" s="287"/>
      <c r="F37" s="287"/>
      <c r="G37" s="287"/>
      <c r="H37" s="287"/>
      <c r="I37" s="287"/>
      <c r="J37" s="287"/>
      <c r="K37" s="288"/>
    </row>
    <row r="38" spans="1:11" x14ac:dyDescent="0.25">
      <c r="A38" s="48" t="s">
        <v>38</v>
      </c>
      <c r="B38" s="49"/>
      <c r="C38" s="285"/>
      <c r="D38" s="285"/>
      <c r="E38" s="285"/>
      <c r="F38" s="285"/>
      <c r="G38" s="285"/>
      <c r="H38" s="285"/>
      <c r="I38" s="285"/>
      <c r="J38" s="285"/>
      <c r="K38" s="286"/>
    </row>
    <row r="39" spans="1:11" x14ac:dyDescent="0.25">
      <c r="A39" s="50" t="s">
        <v>1</v>
      </c>
      <c r="B39" s="49" t="s">
        <v>509</v>
      </c>
      <c r="C39" s="287" t="s">
        <v>561</v>
      </c>
      <c r="D39" s="287" t="s">
        <v>561</v>
      </c>
      <c r="E39" s="287" t="s">
        <v>561</v>
      </c>
      <c r="F39" s="287" t="s">
        <v>561</v>
      </c>
      <c r="G39" s="287" t="s">
        <v>561</v>
      </c>
      <c r="H39" s="287" t="s">
        <v>561</v>
      </c>
      <c r="I39" s="287">
        <v>3</v>
      </c>
      <c r="J39" s="287">
        <v>2</v>
      </c>
      <c r="K39" s="288" t="s">
        <v>561</v>
      </c>
    </row>
    <row r="40" spans="1:11" x14ac:dyDescent="0.25">
      <c r="A40" s="50" t="s">
        <v>1</v>
      </c>
      <c r="B40" s="49" t="s">
        <v>276</v>
      </c>
      <c r="C40" s="285" t="s">
        <v>561</v>
      </c>
      <c r="D40" s="285" t="s">
        <v>561</v>
      </c>
      <c r="E40" s="285" t="s">
        <v>561</v>
      </c>
      <c r="F40" s="285" t="s">
        <v>561</v>
      </c>
      <c r="G40" s="285" t="s">
        <v>561</v>
      </c>
      <c r="H40" s="285" t="s">
        <v>561</v>
      </c>
      <c r="I40" s="285">
        <v>3</v>
      </c>
      <c r="J40" s="285">
        <v>2</v>
      </c>
      <c r="K40" s="286" t="s">
        <v>561</v>
      </c>
    </row>
    <row r="41" spans="1:11" x14ac:dyDescent="0.25">
      <c r="A41" s="50" t="s">
        <v>73</v>
      </c>
      <c r="B41" s="49" t="s">
        <v>42</v>
      </c>
      <c r="C41" s="287" t="s">
        <v>561</v>
      </c>
      <c r="D41" s="287" t="s">
        <v>561</v>
      </c>
      <c r="E41" s="287" t="s">
        <v>561</v>
      </c>
      <c r="F41" s="287">
        <v>5</v>
      </c>
      <c r="G41" s="287" t="s">
        <v>558</v>
      </c>
      <c r="H41" s="287" t="s">
        <v>558</v>
      </c>
      <c r="I41" s="287" t="s">
        <v>556</v>
      </c>
      <c r="J41" s="287">
        <v>8</v>
      </c>
      <c r="K41" s="288" t="s">
        <v>561</v>
      </c>
    </row>
    <row r="42" spans="1:11" x14ac:dyDescent="0.25">
      <c r="A42" s="50" t="s">
        <v>74</v>
      </c>
      <c r="B42" s="49" t="s">
        <v>43</v>
      </c>
      <c r="C42" s="285" t="s">
        <v>558</v>
      </c>
      <c r="D42" s="285" t="s">
        <v>563</v>
      </c>
      <c r="E42" s="285" t="s">
        <v>558</v>
      </c>
      <c r="F42" s="285">
        <v>10</v>
      </c>
      <c r="G42" s="285">
        <v>7</v>
      </c>
      <c r="H42" s="285">
        <v>5</v>
      </c>
      <c r="I42" s="285" t="s">
        <v>556</v>
      </c>
      <c r="J42" s="285" t="s">
        <v>556</v>
      </c>
      <c r="K42" s="286">
        <v>3</v>
      </c>
    </row>
    <row r="43" spans="1:11" x14ac:dyDescent="0.25">
      <c r="A43" s="50" t="s">
        <v>0</v>
      </c>
      <c r="B43" s="49" t="s">
        <v>44</v>
      </c>
      <c r="C43" s="287" t="s">
        <v>562</v>
      </c>
      <c r="D43" s="287">
        <v>4</v>
      </c>
      <c r="E43" s="287">
        <v>5</v>
      </c>
      <c r="F43" s="287" t="s">
        <v>556</v>
      </c>
      <c r="G43" s="287" t="s">
        <v>556</v>
      </c>
      <c r="H43" s="287">
        <v>10</v>
      </c>
      <c r="I43" s="287" t="s">
        <v>556</v>
      </c>
      <c r="J43" s="287" t="s">
        <v>556</v>
      </c>
      <c r="K43" s="288">
        <v>5</v>
      </c>
    </row>
    <row r="44" spans="1:11" x14ac:dyDescent="0.25">
      <c r="A44" s="50" t="s">
        <v>75</v>
      </c>
      <c r="B44" s="49" t="s">
        <v>45</v>
      </c>
      <c r="C44" s="285">
        <v>7</v>
      </c>
      <c r="D44" s="285" t="s">
        <v>556</v>
      </c>
      <c r="E44" s="285">
        <v>7</v>
      </c>
      <c r="F44" s="285" t="s">
        <v>556</v>
      </c>
      <c r="G44" s="285" t="s">
        <v>556</v>
      </c>
      <c r="H44" s="285" t="s">
        <v>556</v>
      </c>
      <c r="I44" s="285" t="s">
        <v>556</v>
      </c>
      <c r="J44" s="285" t="s">
        <v>556</v>
      </c>
      <c r="K44" s="286">
        <v>7</v>
      </c>
    </row>
    <row r="45" spans="1:11" x14ac:dyDescent="0.25">
      <c r="A45" s="50" t="s">
        <v>0</v>
      </c>
      <c r="B45" s="49" t="s">
        <v>46</v>
      </c>
      <c r="C45" s="287">
        <v>1</v>
      </c>
      <c r="D45" s="287">
        <v>1</v>
      </c>
      <c r="E45" s="287">
        <v>2</v>
      </c>
      <c r="F45" s="287" t="s">
        <v>556</v>
      </c>
      <c r="G45" s="287" t="s">
        <v>556</v>
      </c>
      <c r="H45" s="287" t="s">
        <v>556</v>
      </c>
      <c r="I45" s="287" t="s">
        <v>556</v>
      </c>
      <c r="J45" s="287" t="s">
        <v>556</v>
      </c>
      <c r="K45" s="288" t="s">
        <v>556</v>
      </c>
    </row>
    <row r="46" spans="1:11" x14ac:dyDescent="0.25">
      <c r="A46" s="50" t="s">
        <v>0</v>
      </c>
      <c r="B46" s="49" t="s">
        <v>47</v>
      </c>
      <c r="C46" s="285">
        <v>1</v>
      </c>
      <c r="D46" s="285" t="s">
        <v>556</v>
      </c>
      <c r="E46" s="285">
        <v>1</v>
      </c>
      <c r="F46" s="285" t="s">
        <v>556</v>
      </c>
      <c r="G46" s="285" t="s">
        <v>556</v>
      </c>
      <c r="H46" s="285">
        <v>4</v>
      </c>
      <c r="I46" s="285" t="s">
        <v>556</v>
      </c>
      <c r="J46" s="285" t="s">
        <v>556</v>
      </c>
      <c r="K46" s="286">
        <v>1</v>
      </c>
    </row>
    <row r="47" spans="1:11" x14ac:dyDescent="0.25">
      <c r="A47" s="50"/>
      <c r="B47" s="49"/>
      <c r="C47" s="287"/>
      <c r="D47" s="287"/>
      <c r="E47" s="287"/>
      <c r="F47" s="287"/>
      <c r="G47" s="287"/>
      <c r="H47" s="287"/>
      <c r="I47" s="287"/>
      <c r="J47" s="287"/>
      <c r="K47" s="288"/>
    </row>
    <row r="48" spans="1:11" x14ac:dyDescent="0.25">
      <c r="A48" s="48" t="s">
        <v>48</v>
      </c>
      <c r="B48" s="49"/>
      <c r="C48" s="285"/>
      <c r="D48" s="285"/>
      <c r="E48" s="285"/>
      <c r="F48" s="285"/>
      <c r="G48" s="285"/>
      <c r="H48" s="285"/>
      <c r="I48" s="285"/>
      <c r="J48" s="285"/>
      <c r="K48" s="286"/>
    </row>
    <row r="49" spans="1:15" x14ac:dyDescent="0.25">
      <c r="A49" s="50" t="s">
        <v>3</v>
      </c>
      <c r="B49" s="49" t="s">
        <v>51</v>
      </c>
      <c r="C49" s="287" t="s">
        <v>55</v>
      </c>
      <c r="D49" s="287" t="s">
        <v>556</v>
      </c>
      <c r="E49" s="287" t="s">
        <v>556</v>
      </c>
      <c r="F49" s="287" t="s">
        <v>55</v>
      </c>
      <c r="G49" s="287" t="s">
        <v>55</v>
      </c>
      <c r="H49" s="287" t="s">
        <v>58</v>
      </c>
      <c r="I49" s="287" t="s">
        <v>59</v>
      </c>
      <c r="J49" s="287" t="s">
        <v>54</v>
      </c>
      <c r="K49" s="288" t="s">
        <v>556</v>
      </c>
    </row>
    <row r="50" spans="1:15" x14ac:dyDescent="0.25">
      <c r="A50" s="50" t="s">
        <v>4</v>
      </c>
      <c r="B50" s="49" t="s">
        <v>53</v>
      </c>
      <c r="C50" s="285" t="s">
        <v>56</v>
      </c>
      <c r="D50" s="285" t="s">
        <v>556</v>
      </c>
      <c r="E50" s="285" t="s">
        <v>556</v>
      </c>
      <c r="F50" s="285" t="s">
        <v>56</v>
      </c>
      <c r="G50" s="285" t="s">
        <v>55</v>
      </c>
      <c r="H50" s="285" t="s">
        <v>58</v>
      </c>
      <c r="I50" s="285" t="s">
        <v>54</v>
      </c>
      <c r="J50" s="285" t="s">
        <v>59</v>
      </c>
      <c r="K50" s="286" t="s">
        <v>556</v>
      </c>
    </row>
    <row r="51" spans="1:15" x14ac:dyDescent="0.25">
      <c r="A51" s="50" t="s">
        <v>7</v>
      </c>
      <c r="B51" s="49" t="s">
        <v>52</v>
      </c>
      <c r="C51" s="287" t="s">
        <v>57</v>
      </c>
      <c r="D51" s="287" t="s">
        <v>556</v>
      </c>
      <c r="E51" s="287" t="s">
        <v>262</v>
      </c>
      <c r="F51" s="287" t="s">
        <v>57</v>
      </c>
      <c r="G51" s="287" t="s">
        <v>556</v>
      </c>
      <c r="H51" s="287" t="s">
        <v>556</v>
      </c>
      <c r="I51" s="287" t="s">
        <v>556</v>
      </c>
      <c r="J51" s="287" t="s">
        <v>556</v>
      </c>
      <c r="K51" s="288" t="s">
        <v>60</v>
      </c>
      <c r="O51" s="2"/>
    </row>
    <row r="52" spans="1:15" x14ac:dyDescent="0.25">
      <c r="A52" s="50" t="s">
        <v>7</v>
      </c>
      <c r="B52" s="49" t="s">
        <v>147</v>
      </c>
      <c r="C52" s="285" t="s">
        <v>556</v>
      </c>
      <c r="D52" s="285" t="s">
        <v>556</v>
      </c>
      <c r="E52" s="285" t="s">
        <v>260</v>
      </c>
      <c r="F52" s="285" t="s">
        <v>556</v>
      </c>
      <c r="G52" s="285" t="s">
        <v>556</v>
      </c>
      <c r="H52" s="285" t="s">
        <v>556</v>
      </c>
      <c r="I52" s="285" t="s">
        <v>556</v>
      </c>
      <c r="J52" s="285" t="s">
        <v>556</v>
      </c>
      <c r="K52" s="286" t="s">
        <v>556</v>
      </c>
      <c r="O52" s="2"/>
    </row>
    <row r="53" spans="1:15" x14ac:dyDescent="0.25">
      <c r="A53" s="50" t="s">
        <v>3</v>
      </c>
      <c r="B53" s="49" t="s">
        <v>148</v>
      </c>
      <c r="C53" s="287" t="s">
        <v>556</v>
      </c>
      <c r="D53" s="287" t="s">
        <v>556</v>
      </c>
      <c r="E53" s="287" t="s">
        <v>556</v>
      </c>
      <c r="F53" s="287" t="s">
        <v>260</v>
      </c>
      <c r="G53" s="287" t="s">
        <v>556</v>
      </c>
      <c r="H53" s="287" t="s">
        <v>556</v>
      </c>
      <c r="I53" s="287" t="s">
        <v>556</v>
      </c>
      <c r="J53" s="287" t="s">
        <v>556</v>
      </c>
      <c r="K53" s="288" t="s">
        <v>556</v>
      </c>
      <c r="O53" s="2"/>
    </row>
    <row r="54" spans="1:15" x14ac:dyDescent="0.25">
      <c r="A54" s="50" t="s">
        <v>4</v>
      </c>
      <c r="B54" s="49" t="s">
        <v>246</v>
      </c>
      <c r="C54" s="285" t="s">
        <v>556</v>
      </c>
      <c r="D54" s="285" t="s">
        <v>556</v>
      </c>
      <c r="E54" s="285" t="s">
        <v>556</v>
      </c>
      <c r="F54" s="285" t="s">
        <v>556</v>
      </c>
      <c r="G54" s="285" t="s">
        <v>556</v>
      </c>
      <c r="H54" s="285" t="s">
        <v>261</v>
      </c>
      <c r="I54" s="285" t="s">
        <v>556</v>
      </c>
      <c r="J54" s="285" t="s">
        <v>556</v>
      </c>
      <c r="K54" s="286" t="s">
        <v>556</v>
      </c>
      <c r="O54" s="2"/>
    </row>
    <row r="55" spans="1:15" x14ac:dyDescent="0.25">
      <c r="C55"/>
      <c r="D55"/>
      <c r="E55"/>
      <c r="F55"/>
      <c r="G55"/>
      <c r="H55"/>
      <c r="I55"/>
      <c r="J55"/>
      <c r="K55"/>
    </row>
  </sheetData>
  <sortState ref="A58:AO76">
    <sortCondition ref="B58:B76"/>
    <sortCondition ref="A58:A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A79-5041-4A95-95C4-7D4869BA4CE6}">
  <sheetPr codeName="Sheet11"/>
  <dimension ref="A1:AO20"/>
  <sheetViews>
    <sheetView zoomScale="194" zoomScaleNormal="194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3.8" x14ac:dyDescent="0.25"/>
  <cols>
    <col min="1" max="1" width="13.6640625" bestFit="1" customWidth="1"/>
    <col min="2" max="2" width="11.33203125" customWidth="1"/>
    <col min="3" max="4" width="7.88671875" bestFit="1" customWidth="1"/>
    <col min="5" max="6" width="9.109375" bestFit="1" customWidth="1"/>
    <col min="7" max="8" width="7.88671875" bestFit="1" customWidth="1"/>
    <col min="9" max="9" width="9.109375" bestFit="1" customWidth="1"/>
    <col min="10" max="10" width="6" bestFit="1" customWidth="1"/>
    <col min="12" max="12" width="9.109375" bestFit="1" customWidth="1"/>
    <col min="13" max="13" width="6.33203125" bestFit="1" customWidth="1"/>
    <col min="14" max="14" width="5.44140625" bestFit="1" customWidth="1"/>
    <col min="15" max="15" width="5.88671875" bestFit="1" customWidth="1"/>
    <col min="16" max="17" width="6.21875" bestFit="1" customWidth="1"/>
    <col min="18" max="18" width="4.77734375" bestFit="1" customWidth="1"/>
    <col min="19" max="19" width="5.88671875" bestFit="1" customWidth="1"/>
    <col min="20" max="20" width="6.44140625" bestFit="1" customWidth="1"/>
    <col min="21" max="21" width="8.77734375" bestFit="1" customWidth="1"/>
    <col min="22" max="22" width="6.109375" bestFit="1" customWidth="1"/>
    <col min="23" max="23" width="5.88671875" bestFit="1" customWidth="1"/>
    <col min="24" max="24" width="9.5546875" customWidth="1"/>
    <col min="25" max="26" width="8.6640625" bestFit="1" customWidth="1"/>
    <col min="27" max="27" width="8.109375" bestFit="1" customWidth="1"/>
    <col min="28" max="28" width="9.21875" bestFit="1" customWidth="1"/>
    <col min="29" max="29" width="7.6640625" bestFit="1" customWidth="1"/>
    <col min="30" max="30" width="8.5546875" bestFit="1" customWidth="1"/>
    <col min="31" max="31" width="6.88671875" bestFit="1" customWidth="1"/>
    <col min="32" max="32" width="9.21875" bestFit="1" customWidth="1"/>
    <col min="33" max="33" width="8.77734375" bestFit="1" customWidth="1"/>
    <col min="34" max="34" width="9.6640625" customWidth="1"/>
    <col min="35" max="35" width="11.88671875" customWidth="1"/>
    <col min="36" max="36" width="11.5546875" customWidth="1"/>
    <col min="37" max="37" width="9.44140625" customWidth="1"/>
    <col min="38" max="38" width="7.21875" bestFit="1" customWidth="1"/>
    <col min="39" max="39" width="8.77734375" bestFit="1" customWidth="1"/>
    <col min="40" max="40" width="9.77734375" customWidth="1"/>
    <col min="41" max="41" width="5.88671875" bestFit="1" customWidth="1"/>
  </cols>
  <sheetData>
    <row r="1" spans="1:41" s="351" customFormat="1" ht="28.2" thickBot="1" x14ac:dyDescent="0.3">
      <c r="A1" s="346" t="s">
        <v>385</v>
      </c>
      <c r="B1" s="347" t="s">
        <v>404</v>
      </c>
      <c r="C1" s="348" t="s">
        <v>539</v>
      </c>
      <c r="D1" s="349" t="s">
        <v>540</v>
      </c>
      <c r="E1" s="349" t="s">
        <v>541</v>
      </c>
      <c r="F1" s="349" t="s">
        <v>542</v>
      </c>
      <c r="G1" s="349" t="s">
        <v>546</v>
      </c>
      <c r="H1" s="349" t="s">
        <v>547</v>
      </c>
      <c r="I1" s="349" t="s">
        <v>265</v>
      </c>
      <c r="J1" s="349" t="s">
        <v>276</v>
      </c>
      <c r="K1" s="349" t="s">
        <v>42</v>
      </c>
      <c r="L1" s="349" t="s">
        <v>43</v>
      </c>
      <c r="M1" s="349" t="s">
        <v>44</v>
      </c>
      <c r="N1" s="349" t="s">
        <v>45</v>
      </c>
      <c r="O1" s="349" t="s">
        <v>46</v>
      </c>
      <c r="P1" s="349" t="s">
        <v>47</v>
      </c>
      <c r="Q1" s="349" t="s">
        <v>503</v>
      </c>
      <c r="R1" s="349" t="s">
        <v>426</v>
      </c>
      <c r="S1" s="349" t="s">
        <v>427</v>
      </c>
      <c r="T1" s="349" t="s">
        <v>428</v>
      </c>
      <c r="U1" s="349" t="s">
        <v>552</v>
      </c>
      <c r="V1" s="349" t="s">
        <v>27</v>
      </c>
      <c r="W1" s="349" t="s">
        <v>28</v>
      </c>
      <c r="X1" s="349" t="s">
        <v>537</v>
      </c>
      <c r="Y1" s="349" t="s">
        <v>548</v>
      </c>
      <c r="Z1" s="349" t="s">
        <v>49</v>
      </c>
      <c r="AA1" s="349" t="s">
        <v>50</v>
      </c>
      <c r="AB1" s="349" t="s">
        <v>553</v>
      </c>
      <c r="AC1" s="349" t="s">
        <v>31</v>
      </c>
      <c r="AD1" s="349" t="s">
        <v>35</v>
      </c>
      <c r="AE1" s="349" t="s">
        <v>36</v>
      </c>
      <c r="AF1" s="349" t="s">
        <v>37</v>
      </c>
      <c r="AG1" s="349" t="s">
        <v>554</v>
      </c>
      <c r="AH1" s="349" t="s">
        <v>20</v>
      </c>
      <c r="AI1" s="349" t="s">
        <v>21</v>
      </c>
      <c r="AJ1" s="349" t="s">
        <v>517</v>
      </c>
      <c r="AK1" s="349" t="s">
        <v>53</v>
      </c>
      <c r="AL1" s="349" t="s">
        <v>86</v>
      </c>
      <c r="AM1" s="349" t="s">
        <v>148</v>
      </c>
      <c r="AN1" s="349" t="s">
        <v>147</v>
      </c>
      <c r="AO1" s="350" t="s">
        <v>246</v>
      </c>
    </row>
    <row r="2" spans="1:41" ht="15" thickTop="1" thickBot="1" x14ac:dyDescent="0.3">
      <c r="A2" s="272" t="s">
        <v>401</v>
      </c>
      <c r="B2" s="51" t="s">
        <v>16</v>
      </c>
      <c r="C2" s="273">
        <v>1</v>
      </c>
      <c r="D2" s="274">
        <v>1</v>
      </c>
      <c r="E2" s="274">
        <v>1</v>
      </c>
      <c r="F2" s="274">
        <v>1</v>
      </c>
      <c r="G2" s="274">
        <v>0</v>
      </c>
      <c r="H2" s="274">
        <v>0</v>
      </c>
      <c r="I2" s="274">
        <v>0</v>
      </c>
      <c r="J2" s="274">
        <v>1</v>
      </c>
      <c r="K2" s="274">
        <v>0</v>
      </c>
      <c r="L2" s="274">
        <v>0</v>
      </c>
      <c r="M2" s="274">
        <v>0</v>
      </c>
      <c r="N2" s="274">
        <v>0</v>
      </c>
      <c r="O2" s="274">
        <v>0</v>
      </c>
      <c r="P2" s="274">
        <v>0</v>
      </c>
      <c r="Q2" s="274">
        <v>0</v>
      </c>
      <c r="R2" s="274">
        <v>0</v>
      </c>
      <c r="S2" s="274">
        <v>0</v>
      </c>
      <c r="T2" s="274">
        <v>0</v>
      </c>
      <c r="U2" s="274">
        <v>2</v>
      </c>
      <c r="V2" s="274">
        <v>0</v>
      </c>
      <c r="W2" s="274">
        <v>0</v>
      </c>
      <c r="X2" s="274">
        <v>3</v>
      </c>
      <c r="Y2" s="274">
        <v>0</v>
      </c>
      <c r="Z2" s="274">
        <v>0</v>
      </c>
      <c r="AA2" s="274">
        <v>0</v>
      </c>
      <c r="AB2" s="274">
        <v>1</v>
      </c>
      <c r="AC2" s="274">
        <v>1</v>
      </c>
      <c r="AD2" s="274">
        <v>0</v>
      </c>
      <c r="AE2" s="274">
        <v>0</v>
      </c>
      <c r="AF2" s="274">
        <v>1</v>
      </c>
      <c r="AG2" s="274">
        <v>1</v>
      </c>
      <c r="AH2" s="274">
        <v>3</v>
      </c>
      <c r="AI2" s="274">
        <v>1</v>
      </c>
      <c r="AJ2" s="274">
        <v>0</v>
      </c>
      <c r="AK2" s="274">
        <v>0</v>
      </c>
      <c r="AL2" s="274">
        <v>0</v>
      </c>
      <c r="AM2" s="274">
        <v>0</v>
      </c>
      <c r="AN2" s="274">
        <v>0</v>
      </c>
      <c r="AO2" s="275">
        <v>0</v>
      </c>
    </row>
    <row r="3" spans="1:41" ht="15" thickTop="1" thickBot="1" x14ac:dyDescent="0.3">
      <c r="A3" s="272" t="s">
        <v>390</v>
      </c>
      <c r="B3" s="51" t="s">
        <v>16</v>
      </c>
      <c r="C3" s="276">
        <v>4</v>
      </c>
      <c r="D3" s="277">
        <v>0</v>
      </c>
      <c r="E3" s="277">
        <v>2</v>
      </c>
      <c r="F3" s="277">
        <v>0</v>
      </c>
      <c r="G3" s="342">
        <v>0</v>
      </c>
      <c r="H3" s="342">
        <v>0</v>
      </c>
      <c r="I3" s="277">
        <v>0</v>
      </c>
      <c r="J3" s="277">
        <v>0</v>
      </c>
      <c r="K3" s="277">
        <v>2</v>
      </c>
      <c r="L3" s="277">
        <v>0</v>
      </c>
      <c r="M3" s="277">
        <v>0</v>
      </c>
      <c r="N3" s="277">
        <v>0</v>
      </c>
      <c r="O3" s="277">
        <v>0</v>
      </c>
      <c r="P3" s="277">
        <v>0</v>
      </c>
      <c r="Q3" s="277">
        <v>1</v>
      </c>
      <c r="R3" s="277">
        <v>1</v>
      </c>
      <c r="S3" s="277">
        <v>0</v>
      </c>
      <c r="T3" s="277">
        <v>0</v>
      </c>
      <c r="U3" s="277">
        <v>2</v>
      </c>
      <c r="V3" s="277">
        <v>0</v>
      </c>
      <c r="W3" s="277">
        <v>0</v>
      </c>
      <c r="X3" s="277">
        <v>0</v>
      </c>
      <c r="Y3" s="277">
        <v>1</v>
      </c>
      <c r="Z3" s="277">
        <v>0</v>
      </c>
      <c r="AA3" s="277">
        <v>0</v>
      </c>
      <c r="AB3" s="277">
        <v>1</v>
      </c>
      <c r="AC3" s="277">
        <v>0</v>
      </c>
      <c r="AD3" s="277">
        <v>0</v>
      </c>
      <c r="AE3" s="277">
        <v>0</v>
      </c>
      <c r="AF3" s="277">
        <v>3</v>
      </c>
      <c r="AG3" s="277">
        <v>1</v>
      </c>
      <c r="AH3" s="277">
        <v>0</v>
      </c>
      <c r="AI3" s="277">
        <v>1</v>
      </c>
      <c r="AJ3" s="277">
        <v>0</v>
      </c>
      <c r="AK3" s="277">
        <v>0</v>
      </c>
      <c r="AL3" s="277">
        <v>0</v>
      </c>
      <c r="AM3" s="277">
        <v>0</v>
      </c>
      <c r="AN3" s="277">
        <v>0</v>
      </c>
      <c r="AO3" s="278">
        <v>0</v>
      </c>
    </row>
    <row r="4" spans="1:41" ht="15" thickTop="1" thickBot="1" x14ac:dyDescent="0.3">
      <c r="A4" s="272" t="s">
        <v>399</v>
      </c>
      <c r="B4" s="51" t="s">
        <v>16</v>
      </c>
      <c r="C4" s="279">
        <v>1</v>
      </c>
      <c r="D4" s="280">
        <v>1</v>
      </c>
      <c r="E4" s="280">
        <v>1</v>
      </c>
      <c r="F4" s="280">
        <v>1</v>
      </c>
      <c r="G4" s="274">
        <v>0</v>
      </c>
      <c r="H4" s="274">
        <v>0</v>
      </c>
      <c r="I4" s="280">
        <v>1</v>
      </c>
      <c r="J4" s="280">
        <v>0</v>
      </c>
      <c r="K4" s="280">
        <v>0</v>
      </c>
      <c r="L4" s="280">
        <v>1</v>
      </c>
      <c r="M4" s="280">
        <v>0</v>
      </c>
      <c r="N4" s="280">
        <v>0</v>
      </c>
      <c r="O4" s="280">
        <v>0</v>
      </c>
      <c r="P4" s="280">
        <v>0</v>
      </c>
      <c r="Q4" s="280">
        <v>0</v>
      </c>
      <c r="R4" s="280">
        <v>0</v>
      </c>
      <c r="S4" s="280">
        <v>0</v>
      </c>
      <c r="T4" s="280">
        <v>0</v>
      </c>
      <c r="U4" s="280">
        <v>1</v>
      </c>
      <c r="V4" s="280">
        <v>0</v>
      </c>
      <c r="W4" s="280">
        <v>0</v>
      </c>
      <c r="X4" s="280">
        <v>3</v>
      </c>
      <c r="Y4" s="280">
        <v>0</v>
      </c>
      <c r="Z4" s="280">
        <v>0</v>
      </c>
      <c r="AA4" s="280">
        <v>0</v>
      </c>
      <c r="AB4" s="280">
        <v>1</v>
      </c>
      <c r="AC4" s="280">
        <v>1</v>
      </c>
      <c r="AD4" s="280">
        <v>0</v>
      </c>
      <c r="AE4" s="280">
        <v>1</v>
      </c>
      <c r="AF4" s="280">
        <v>0</v>
      </c>
      <c r="AG4" s="280">
        <v>0</v>
      </c>
      <c r="AH4" s="280">
        <v>4</v>
      </c>
      <c r="AI4" s="280">
        <v>1</v>
      </c>
      <c r="AJ4" s="280">
        <v>0</v>
      </c>
      <c r="AK4" s="280">
        <v>0</v>
      </c>
      <c r="AL4" s="280">
        <v>0</v>
      </c>
      <c r="AM4" s="280">
        <v>0</v>
      </c>
      <c r="AN4" s="280">
        <v>0</v>
      </c>
      <c r="AO4" s="281">
        <v>0</v>
      </c>
    </row>
    <row r="5" spans="1:41" ht="15" thickTop="1" thickBot="1" x14ac:dyDescent="0.3">
      <c r="A5" s="272" t="s">
        <v>397</v>
      </c>
      <c r="B5" s="51" t="s">
        <v>567</v>
      </c>
      <c r="C5" s="276">
        <v>4</v>
      </c>
      <c r="D5" s="277">
        <v>0</v>
      </c>
      <c r="E5" s="277">
        <v>3</v>
      </c>
      <c r="F5" s="277">
        <v>0</v>
      </c>
      <c r="G5" s="342">
        <v>0</v>
      </c>
      <c r="H5" s="342">
        <v>0</v>
      </c>
      <c r="I5" s="277">
        <v>0</v>
      </c>
      <c r="J5" s="277">
        <v>0</v>
      </c>
      <c r="K5" s="277">
        <v>0</v>
      </c>
      <c r="L5" s="277">
        <v>0</v>
      </c>
      <c r="M5" s="277">
        <v>0</v>
      </c>
      <c r="N5" s="277">
        <v>0</v>
      </c>
      <c r="O5" s="277">
        <v>0</v>
      </c>
      <c r="P5" s="277">
        <v>0</v>
      </c>
      <c r="Q5" s="277">
        <v>1</v>
      </c>
      <c r="R5" s="277">
        <v>1</v>
      </c>
      <c r="S5" s="277">
        <v>0</v>
      </c>
      <c r="T5" s="277">
        <v>0</v>
      </c>
      <c r="U5" s="277">
        <v>0</v>
      </c>
      <c r="V5" s="277">
        <v>0</v>
      </c>
      <c r="W5" s="277">
        <v>0</v>
      </c>
      <c r="X5" s="277">
        <v>0</v>
      </c>
      <c r="Y5" s="277">
        <v>1</v>
      </c>
      <c r="Z5" s="277">
        <v>0</v>
      </c>
      <c r="AA5" s="277">
        <v>0</v>
      </c>
      <c r="AB5" s="277">
        <v>1</v>
      </c>
      <c r="AC5" s="277">
        <v>0</v>
      </c>
      <c r="AD5" s="277">
        <v>0</v>
      </c>
      <c r="AE5" s="277">
        <v>1</v>
      </c>
      <c r="AF5" s="277">
        <v>1</v>
      </c>
      <c r="AG5" s="277">
        <v>0</v>
      </c>
      <c r="AH5" s="277">
        <v>0</v>
      </c>
      <c r="AI5" s="277">
        <v>3</v>
      </c>
      <c r="AJ5" s="277">
        <v>0</v>
      </c>
      <c r="AK5" s="277">
        <v>2</v>
      </c>
      <c r="AL5" s="277">
        <v>0</v>
      </c>
      <c r="AM5" s="277">
        <v>0</v>
      </c>
      <c r="AN5" s="277">
        <v>0</v>
      </c>
      <c r="AO5" s="278">
        <v>0</v>
      </c>
    </row>
    <row r="6" spans="1:41" ht="15" thickTop="1" thickBot="1" x14ac:dyDescent="0.3">
      <c r="A6" s="272" t="s">
        <v>389</v>
      </c>
      <c r="B6" s="51" t="s">
        <v>567</v>
      </c>
      <c r="C6" s="279">
        <v>3</v>
      </c>
      <c r="D6" s="280">
        <v>0</v>
      </c>
      <c r="E6" s="280">
        <v>2</v>
      </c>
      <c r="F6" s="280">
        <v>0</v>
      </c>
      <c r="G6" s="274">
        <v>0</v>
      </c>
      <c r="H6" s="274">
        <v>0</v>
      </c>
      <c r="I6" s="280">
        <v>1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1</v>
      </c>
      <c r="R6" s="280">
        <v>1</v>
      </c>
      <c r="S6" s="280">
        <v>1</v>
      </c>
      <c r="T6" s="280">
        <v>1</v>
      </c>
      <c r="U6" s="280">
        <v>1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1</v>
      </c>
      <c r="AC6" s="280">
        <v>0</v>
      </c>
      <c r="AD6" s="280">
        <v>0</v>
      </c>
      <c r="AE6" s="280">
        <v>0</v>
      </c>
      <c r="AF6" s="280">
        <v>2</v>
      </c>
      <c r="AG6" s="280">
        <v>1</v>
      </c>
      <c r="AH6" s="280">
        <v>0</v>
      </c>
      <c r="AI6" s="280">
        <v>4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  <c r="AO6" s="281">
        <v>0</v>
      </c>
    </row>
    <row r="7" spans="1:41" ht="15" thickTop="1" thickBot="1" x14ac:dyDescent="0.3">
      <c r="A7" s="272" t="s">
        <v>402</v>
      </c>
      <c r="B7" s="51" t="s">
        <v>18</v>
      </c>
      <c r="C7" s="276">
        <v>3</v>
      </c>
      <c r="D7" s="277">
        <v>1</v>
      </c>
      <c r="E7" s="277">
        <v>1</v>
      </c>
      <c r="F7" s="277">
        <v>1</v>
      </c>
      <c r="G7" s="342">
        <v>0</v>
      </c>
      <c r="H7" s="342">
        <v>0</v>
      </c>
      <c r="I7" s="277">
        <v>1</v>
      </c>
      <c r="J7" s="277">
        <v>0</v>
      </c>
      <c r="K7" s="277">
        <v>0</v>
      </c>
      <c r="L7" s="277">
        <v>0</v>
      </c>
      <c r="M7" s="277">
        <v>0</v>
      </c>
      <c r="N7" s="277">
        <v>0</v>
      </c>
      <c r="O7" s="277">
        <v>0</v>
      </c>
      <c r="P7" s="277">
        <v>0</v>
      </c>
      <c r="Q7" s="277">
        <v>1</v>
      </c>
      <c r="R7" s="277">
        <v>1</v>
      </c>
      <c r="S7" s="277">
        <v>0</v>
      </c>
      <c r="T7" s="277">
        <v>0</v>
      </c>
      <c r="U7" s="277">
        <v>1</v>
      </c>
      <c r="V7" s="277">
        <v>0</v>
      </c>
      <c r="W7" s="277">
        <v>0</v>
      </c>
      <c r="X7" s="277">
        <v>0</v>
      </c>
      <c r="Y7" s="277">
        <v>0</v>
      </c>
      <c r="Z7" s="277">
        <v>0</v>
      </c>
      <c r="AA7" s="277">
        <v>0</v>
      </c>
      <c r="AB7" s="277">
        <v>1</v>
      </c>
      <c r="AC7" s="277">
        <v>0</v>
      </c>
      <c r="AD7" s="277">
        <v>0</v>
      </c>
      <c r="AE7" s="277">
        <v>0</v>
      </c>
      <c r="AF7" s="277">
        <v>1</v>
      </c>
      <c r="AG7" s="277">
        <v>1</v>
      </c>
      <c r="AH7" s="277">
        <v>3</v>
      </c>
      <c r="AI7" s="277">
        <v>2</v>
      </c>
      <c r="AJ7" s="277">
        <v>0</v>
      </c>
      <c r="AK7" s="277">
        <v>0</v>
      </c>
      <c r="AL7" s="277">
        <v>0</v>
      </c>
      <c r="AM7" s="277">
        <v>0</v>
      </c>
      <c r="AN7" s="277">
        <v>0</v>
      </c>
      <c r="AO7" s="278">
        <v>0</v>
      </c>
    </row>
    <row r="8" spans="1:41" ht="15" thickTop="1" thickBot="1" x14ac:dyDescent="0.3">
      <c r="A8" s="272" t="s">
        <v>395</v>
      </c>
      <c r="B8" s="51" t="s">
        <v>18</v>
      </c>
      <c r="C8" s="279">
        <v>2</v>
      </c>
      <c r="D8" s="280">
        <v>0</v>
      </c>
      <c r="E8" s="280">
        <v>1</v>
      </c>
      <c r="F8" s="280">
        <v>0</v>
      </c>
      <c r="G8" s="274">
        <v>0</v>
      </c>
      <c r="H8" s="274">
        <v>0</v>
      </c>
      <c r="I8" s="280">
        <v>0</v>
      </c>
      <c r="J8" s="280">
        <v>0</v>
      </c>
      <c r="K8" s="280">
        <v>0</v>
      </c>
      <c r="L8" s="280">
        <v>0</v>
      </c>
      <c r="M8" s="280">
        <v>2</v>
      </c>
      <c r="N8" s="280">
        <v>0</v>
      </c>
      <c r="O8" s="280">
        <v>0</v>
      </c>
      <c r="P8" s="280">
        <v>1</v>
      </c>
      <c r="Q8" s="280">
        <v>0</v>
      </c>
      <c r="R8" s="280">
        <v>0</v>
      </c>
      <c r="S8" s="280">
        <v>0</v>
      </c>
      <c r="T8" s="280">
        <v>0</v>
      </c>
      <c r="U8" s="280">
        <v>1</v>
      </c>
      <c r="V8" s="280">
        <v>0</v>
      </c>
      <c r="W8" s="280">
        <v>0</v>
      </c>
      <c r="X8" s="280">
        <v>1</v>
      </c>
      <c r="Y8" s="280">
        <v>1</v>
      </c>
      <c r="Z8" s="280">
        <v>0</v>
      </c>
      <c r="AA8" s="280">
        <v>0</v>
      </c>
      <c r="AB8" s="280">
        <v>0</v>
      </c>
      <c r="AC8" s="280">
        <v>0</v>
      </c>
      <c r="AD8" s="280">
        <v>0</v>
      </c>
      <c r="AE8" s="280">
        <v>0</v>
      </c>
      <c r="AF8" s="280">
        <v>1</v>
      </c>
      <c r="AG8" s="280">
        <v>1</v>
      </c>
      <c r="AH8" s="280">
        <v>3</v>
      </c>
      <c r="AI8" s="280">
        <v>2</v>
      </c>
      <c r="AJ8" s="280">
        <v>0</v>
      </c>
      <c r="AK8" s="280">
        <v>1</v>
      </c>
      <c r="AL8" s="280">
        <v>1</v>
      </c>
      <c r="AM8" s="280">
        <v>0</v>
      </c>
      <c r="AN8" s="280">
        <v>0</v>
      </c>
      <c r="AO8" s="281">
        <v>0</v>
      </c>
    </row>
    <row r="9" spans="1:41" ht="15" thickTop="1" thickBot="1" x14ac:dyDescent="0.3">
      <c r="A9" s="272" t="s">
        <v>396</v>
      </c>
      <c r="B9" s="51" t="s">
        <v>18</v>
      </c>
      <c r="C9" s="276">
        <v>2</v>
      </c>
      <c r="D9" s="277">
        <v>1</v>
      </c>
      <c r="E9" s="277">
        <v>1</v>
      </c>
      <c r="F9" s="277">
        <v>0</v>
      </c>
      <c r="G9" s="342">
        <v>0</v>
      </c>
      <c r="H9" s="342">
        <v>0</v>
      </c>
      <c r="I9" s="277">
        <v>0</v>
      </c>
      <c r="J9" s="277">
        <v>0</v>
      </c>
      <c r="K9" s="277"/>
      <c r="L9" s="277">
        <v>1</v>
      </c>
      <c r="M9" s="277">
        <v>1</v>
      </c>
      <c r="N9" s="277">
        <v>0</v>
      </c>
      <c r="O9" s="277">
        <v>0</v>
      </c>
      <c r="P9" s="277">
        <v>0</v>
      </c>
      <c r="Q9" s="277">
        <v>1</v>
      </c>
      <c r="R9" s="277">
        <v>0</v>
      </c>
      <c r="S9" s="277">
        <v>0</v>
      </c>
      <c r="T9" s="277">
        <v>0</v>
      </c>
      <c r="U9" s="277">
        <v>1</v>
      </c>
      <c r="V9" s="277">
        <v>0</v>
      </c>
      <c r="W9" s="277">
        <v>0</v>
      </c>
      <c r="X9" s="277">
        <v>1</v>
      </c>
      <c r="Y9" s="277">
        <v>0</v>
      </c>
      <c r="Z9" s="277">
        <v>0</v>
      </c>
      <c r="AA9" s="277">
        <v>0</v>
      </c>
      <c r="AB9" s="277">
        <v>0</v>
      </c>
      <c r="AC9" s="277">
        <v>0</v>
      </c>
      <c r="AD9" s="277">
        <v>0</v>
      </c>
      <c r="AE9" s="277">
        <v>0</v>
      </c>
      <c r="AF9" s="277">
        <v>1</v>
      </c>
      <c r="AG9" s="277">
        <v>1</v>
      </c>
      <c r="AH9" s="277">
        <v>3</v>
      </c>
      <c r="AI9" s="277">
        <v>2</v>
      </c>
      <c r="AJ9" s="277">
        <v>0</v>
      </c>
      <c r="AK9" s="277">
        <v>1</v>
      </c>
      <c r="AL9" s="277">
        <v>1</v>
      </c>
      <c r="AM9" s="277">
        <v>0</v>
      </c>
      <c r="AN9" s="277">
        <v>0</v>
      </c>
      <c r="AO9" s="278">
        <v>0</v>
      </c>
    </row>
    <row r="10" spans="1:41" ht="15" thickTop="1" thickBot="1" x14ac:dyDescent="0.3">
      <c r="A10" s="272" t="s">
        <v>394</v>
      </c>
      <c r="B10" s="51" t="s">
        <v>17</v>
      </c>
      <c r="C10" s="279">
        <v>0</v>
      </c>
      <c r="D10" s="280">
        <v>0</v>
      </c>
      <c r="E10" s="280">
        <v>0</v>
      </c>
      <c r="F10" s="280">
        <v>0</v>
      </c>
      <c r="G10" s="274">
        <v>0</v>
      </c>
      <c r="H10" s="274">
        <v>0</v>
      </c>
      <c r="I10" s="280">
        <v>0</v>
      </c>
      <c r="J10" s="280">
        <v>1</v>
      </c>
      <c r="K10" s="280">
        <v>0</v>
      </c>
      <c r="L10" s="280">
        <v>0</v>
      </c>
      <c r="M10" s="280">
        <v>0</v>
      </c>
      <c r="N10" s="280">
        <v>0</v>
      </c>
      <c r="O10" s="280">
        <v>0</v>
      </c>
      <c r="P10" s="280">
        <v>0</v>
      </c>
      <c r="Q10" s="280">
        <v>0</v>
      </c>
      <c r="R10" s="280">
        <v>0</v>
      </c>
      <c r="S10" s="280">
        <v>0</v>
      </c>
      <c r="T10" s="280">
        <v>0</v>
      </c>
      <c r="U10" s="280">
        <v>2</v>
      </c>
      <c r="V10" s="280">
        <v>0</v>
      </c>
      <c r="W10" s="280">
        <v>0</v>
      </c>
      <c r="X10" s="280">
        <v>3</v>
      </c>
      <c r="Y10" s="280">
        <v>0</v>
      </c>
      <c r="Z10" s="280">
        <v>0</v>
      </c>
      <c r="AA10" s="280">
        <v>1</v>
      </c>
      <c r="AB10" s="280">
        <v>1</v>
      </c>
      <c r="AC10" s="280">
        <v>0</v>
      </c>
      <c r="AD10" s="280">
        <v>0</v>
      </c>
      <c r="AE10" s="280">
        <v>2</v>
      </c>
      <c r="AF10" s="280">
        <v>0</v>
      </c>
      <c r="AG10" s="280">
        <v>0</v>
      </c>
      <c r="AH10" s="280">
        <v>3</v>
      </c>
      <c r="AI10" s="280">
        <v>1</v>
      </c>
      <c r="AJ10" s="280">
        <v>2</v>
      </c>
      <c r="AK10" s="280">
        <v>2</v>
      </c>
      <c r="AL10" s="280">
        <v>0</v>
      </c>
      <c r="AM10" s="280">
        <v>0</v>
      </c>
      <c r="AN10" s="280">
        <v>0</v>
      </c>
      <c r="AO10" s="281">
        <v>0</v>
      </c>
    </row>
    <row r="11" spans="1:41" ht="15" thickTop="1" thickBot="1" x14ac:dyDescent="0.3">
      <c r="A11" s="272" t="s">
        <v>393</v>
      </c>
      <c r="B11" s="51" t="s">
        <v>17</v>
      </c>
      <c r="C11" s="276">
        <v>0</v>
      </c>
      <c r="D11" s="277">
        <v>1</v>
      </c>
      <c r="E11" s="277">
        <v>0</v>
      </c>
      <c r="F11" s="277">
        <v>0</v>
      </c>
      <c r="G11" s="342">
        <v>0</v>
      </c>
      <c r="H11" s="342">
        <v>0</v>
      </c>
      <c r="I11" s="277">
        <v>0</v>
      </c>
      <c r="J11" s="277">
        <v>1</v>
      </c>
      <c r="K11" s="277">
        <v>0</v>
      </c>
      <c r="L11" s="277">
        <v>0</v>
      </c>
      <c r="M11" s="277">
        <v>0</v>
      </c>
      <c r="N11" s="277">
        <v>0</v>
      </c>
      <c r="O11" s="277">
        <v>0</v>
      </c>
      <c r="P11" s="277">
        <v>0</v>
      </c>
      <c r="Q11" s="277">
        <v>0</v>
      </c>
      <c r="R11" s="277">
        <v>1</v>
      </c>
      <c r="S11" s="277">
        <v>0</v>
      </c>
      <c r="T11" s="277">
        <v>0</v>
      </c>
      <c r="U11" s="277">
        <v>1</v>
      </c>
      <c r="V11" s="277">
        <v>0</v>
      </c>
      <c r="W11" s="277">
        <v>0</v>
      </c>
      <c r="X11" s="277">
        <v>2</v>
      </c>
      <c r="Y11" s="277">
        <v>0</v>
      </c>
      <c r="Z11" s="277">
        <v>1</v>
      </c>
      <c r="AA11" s="277">
        <v>1</v>
      </c>
      <c r="AB11" s="277">
        <v>1</v>
      </c>
      <c r="AC11" s="277">
        <v>0</v>
      </c>
      <c r="AD11" s="277">
        <v>0</v>
      </c>
      <c r="AE11" s="277">
        <v>1</v>
      </c>
      <c r="AF11" s="277">
        <v>0</v>
      </c>
      <c r="AG11" s="277">
        <v>1</v>
      </c>
      <c r="AH11" s="277">
        <v>2</v>
      </c>
      <c r="AI11" s="277">
        <v>1</v>
      </c>
      <c r="AJ11" s="277">
        <v>1</v>
      </c>
      <c r="AK11" s="277">
        <v>3</v>
      </c>
      <c r="AL11" s="277">
        <v>0</v>
      </c>
      <c r="AM11" s="277">
        <v>0</v>
      </c>
      <c r="AN11" s="277">
        <v>0</v>
      </c>
      <c r="AO11" s="278">
        <v>0</v>
      </c>
    </row>
    <row r="12" spans="1:41" ht="15" thickTop="1" thickBot="1" x14ac:dyDescent="0.3">
      <c r="A12" s="272" t="s">
        <v>400</v>
      </c>
      <c r="B12" s="51" t="s">
        <v>543</v>
      </c>
      <c r="C12" s="279">
        <v>4</v>
      </c>
      <c r="D12" s="280">
        <v>3</v>
      </c>
      <c r="E12" s="280">
        <v>3</v>
      </c>
      <c r="F12" s="280">
        <v>0</v>
      </c>
      <c r="G12" s="274">
        <v>0</v>
      </c>
      <c r="H12" s="274">
        <v>0</v>
      </c>
      <c r="I12" s="280">
        <v>0</v>
      </c>
      <c r="J12" s="280">
        <v>0</v>
      </c>
      <c r="K12" s="280">
        <v>0</v>
      </c>
      <c r="L12" s="280">
        <v>1</v>
      </c>
      <c r="M12" s="280">
        <v>2</v>
      </c>
      <c r="N12" s="280">
        <v>0</v>
      </c>
      <c r="O12" s="280">
        <v>1</v>
      </c>
      <c r="P12" s="280">
        <v>0</v>
      </c>
      <c r="Q12" s="280">
        <v>0</v>
      </c>
      <c r="R12" s="280">
        <v>0</v>
      </c>
      <c r="S12" s="280">
        <v>0</v>
      </c>
      <c r="T12" s="280">
        <v>0</v>
      </c>
      <c r="U12" s="280">
        <v>1</v>
      </c>
      <c r="V12" s="280">
        <v>0</v>
      </c>
      <c r="W12" s="280">
        <v>0</v>
      </c>
      <c r="X12" s="280">
        <v>0</v>
      </c>
      <c r="Y12" s="280">
        <v>0</v>
      </c>
      <c r="Z12" s="280">
        <v>0</v>
      </c>
      <c r="AA12" s="280">
        <v>0</v>
      </c>
      <c r="AB12" s="280">
        <v>0</v>
      </c>
      <c r="AC12" s="280">
        <v>0</v>
      </c>
      <c r="AD12" s="280">
        <v>0</v>
      </c>
      <c r="AE12" s="280">
        <v>0</v>
      </c>
      <c r="AF12" s="280">
        <v>0</v>
      </c>
      <c r="AG12" s="280">
        <v>0</v>
      </c>
      <c r="AH12" s="280">
        <v>1</v>
      </c>
      <c r="AI12" s="280">
        <v>2</v>
      </c>
      <c r="AJ12" s="280">
        <v>0</v>
      </c>
      <c r="AK12" s="280">
        <v>0</v>
      </c>
      <c r="AL12" s="280">
        <v>0</v>
      </c>
      <c r="AM12" s="280">
        <v>0</v>
      </c>
      <c r="AN12" s="280">
        <v>0</v>
      </c>
      <c r="AO12" s="281">
        <v>0</v>
      </c>
    </row>
    <row r="13" spans="1:41" ht="15" thickTop="1" thickBot="1" x14ac:dyDescent="0.3">
      <c r="A13" s="272" t="s">
        <v>386</v>
      </c>
      <c r="B13" s="51" t="s">
        <v>543</v>
      </c>
      <c r="C13" s="276">
        <v>3</v>
      </c>
      <c r="D13" s="277">
        <v>2</v>
      </c>
      <c r="E13" s="277">
        <v>1</v>
      </c>
      <c r="F13" s="277">
        <v>0</v>
      </c>
      <c r="G13" s="342">
        <v>0</v>
      </c>
      <c r="H13" s="342">
        <v>0</v>
      </c>
      <c r="I13" s="277">
        <v>0</v>
      </c>
      <c r="J13" s="277">
        <v>0</v>
      </c>
      <c r="K13" s="277">
        <v>0</v>
      </c>
      <c r="L13" s="277">
        <v>0</v>
      </c>
      <c r="M13" s="277">
        <v>2</v>
      </c>
      <c r="N13" s="277">
        <v>0</v>
      </c>
      <c r="O13" s="277">
        <v>1</v>
      </c>
      <c r="P13" s="277">
        <v>1</v>
      </c>
      <c r="Q13" s="277">
        <v>1</v>
      </c>
      <c r="R13" s="277">
        <v>1</v>
      </c>
      <c r="S13" s="277">
        <v>0</v>
      </c>
      <c r="T13" s="277">
        <v>1</v>
      </c>
      <c r="U13" s="277">
        <v>1</v>
      </c>
      <c r="V13" s="277">
        <v>0</v>
      </c>
      <c r="W13" s="277">
        <v>0</v>
      </c>
      <c r="X13" s="277">
        <v>0</v>
      </c>
      <c r="Y13" s="277">
        <v>0</v>
      </c>
      <c r="Z13" s="277">
        <v>0</v>
      </c>
      <c r="AA13" s="277">
        <v>0</v>
      </c>
      <c r="AB13" s="277">
        <v>0</v>
      </c>
      <c r="AC13" s="277">
        <v>0</v>
      </c>
      <c r="AD13" s="277">
        <v>0</v>
      </c>
      <c r="AE13" s="277">
        <v>0</v>
      </c>
      <c r="AF13" s="277">
        <v>1</v>
      </c>
      <c r="AG13" s="277">
        <v>1</v>
      </c>
      <c r="AH13" s="277">
        <v>1</v>
      </c>
      <c r="AI13" s="277">
        <v>2</v>
      </c>
      <c r="AJ13" s="277">
        <v>0</v>
      </c>
      <c r="AK13" s="277">
        <v>0</v>
      </c>
      <c r="AL13" s="277">
        <v>0</v>
      </c>
      <c r="AM13" s="277">
        <v>0</v>
      </c>
      <c r="AN13" s="277">
        <v>0</v>
      </c>
      <c r="AO13" s="278">
        <v>0</v>
      </c>
    </row>
    <row r="14" spans="1:41" ht="15" thickTop="1" thickBot="1" x14ac:dyDescent="0.3">
      <c r="A14" s="272" t="s">
        <v>549</v>
      </c>
      <c r="B14" s="51" t="s">
        <v>13</v>
      </c>
      <c r="C14" s="279">
        <v>3</v>
      </c>
      <c r="D14" s="280">
        <v>2</v>
      </c>
      <c r="E14" s="280">
        <v>1</v>
      </c>
      <c r="F14" s="280">
        <v>0</v>
      </c>
      <c r="G14" s="274">
        <v>0</v>
      </c>
      <c r="H14" s="274">
        <v>0</v>
      </c>
      <c r="I14" s="280">
        <v>0</v>
      </c>
      <c r="J14" s="280">
        <v>0</v>
      </c>
      <c r="K14" s="280">
        <v>0</v>
      </c>
      <c r="L14" s="280">
        <v>0</v>
      </c>
      <c r="M14" s="280">
        <v>1</v>
      </c>
      <c r="N14" s="280">
        <v>1</v>
      </c>
      <c r="O14" s="280">
        <v>1</v>
      </c>
      <c r="P14" s="280">
        <v>1</v>
      </c>
      <c r="Q14" s="280">
        <v>1</v>
      </c>
      <c r="R14" s="280">
        <v>1</v>
      </c>
      <c r="S14" s="280">
        <v>0</v>
      </c>
      <c r="T14" s="280">
        <v>1</v>
      </c>
      <c r="U14" s="280">
        <v>1</v>
      </c>
      <c r="V14" s="280">
        <v>0</v>
      </c>
      <c r="W14" s="280">
        <v>0</v>
      </c>
      <c r="X14" s="280">
        <v>0</v>
      </c>
      <c r="Y14" s="280">
        <v>0</v>
      </c>
      <c r="Z14" s="280">
        <v>0</v>
      </c>
      <c r="AA14" s="280">
        <v>0</v>
      </c>
      <c r="AB14" s="280">
        <v>0</v>
      </c>
      <c r="AC14" s="280">
        <v>0</v>
      </c>
      <c r="AD14" s="280">
        <v>0</v>
      </c>
      <c r="AE14" s="280">
        <v>0</v>
      </c>
      <c r="AF14" s="280">
        <v>1</v>
      </c>
      <c r="AG14" s="280">
        <v>1</v>
      </c>
      <c r="AH14" s="280">
        <v>1</v>
      </c>
      <c r="AI14" s="280">
        <v>2</v>
      </c>
      <c r="AJ14" s="280">
        <v>0</v>
      </c>
      <c r="AK14" s="280">
        <v>0</v>
      </c>
      <c r="AL14" s="280">
        <v>0</v>
      </c>
      <c r="AM14" s="280">
        <v>0</v>
      </c>
      <c r="AN14" s="280">
        <v>0</v>
      </c>
      <c r="AO14" s="281">
        <v>0</v>
      </c>
    </row>
    <row r="15" spans="1:41" ht="15" thickTop="1" thickBot="1" x14ac:dyDescent="0.3">
      <c r="A15" s="272" t="s">
        <v>545</v>
      </c>
      <c r="B15" s="51" t="s">
        <v>14</v>
      </c>
      <c r="C15" s="276">
        <v>1</v>
      </c>
      <c r="D15" s="277">
        <v>1</v>
      </c>
      <c r="E15" s="277">
        <v>0</v>
      </c>
      <c r="F15" s="277">
        <v>0</v>
      </c>
      <c r="G15" s="342">
        <v>0</v>
      </c>
      <c r="H15" s="342">
        <v>0</v>
      </c>
      <c r="I15" s="277">
        <v>0</v>
      </c>
      <c r="J15" s="277">
        <v>0</v>
      </c>
      <c r="K15" s="277">
        <v>0</v>
      </c>
      <c r="L15" s="277">
        <v>1</v>
      </c>
      <c r="M15" s="277">
        <v>0</v>
      </c>
      <c r="N15" s="277">
        <v>0</v>
      </c>
      <c r="O15" s="277">
        <v>0</v>
      </c>
      <c r="P15" s="277">
        <v>0</v>
      </c>
      <c r="Q15" s="277">
        <v>0</v>
      </c>
      <c r="R15" s="277">
        <v>1</v>
      </c>
      <c r="S15" s="277">
        <v>1</v>
      </c>
      <c r="T15" s="277">
        <v>1</v>
      </c>
      <c r="U15" s="277">
        <v>1</v>
      </c>
      <c r="V15" s="277">
        <v>0</v>
      </c>
      <c r="W15" s="277">
        <v>0</v>
      </c>
      <c r="X15" s="277">
        <v>0</v>
      </c>
      <c r="Y15" s="277">
        <v>0</v>
      </c>
      <c r="Z15" s="277">
        <v>0</v>
      </c>
      <c r="AA15" s="277">
        <v>1</v>
      </c>
      <c r="AB15" s="277">
        <v>0</v>
      </c>
      <c r="AC15" s="277">
        <v>0</v>
      </c>
      <c r="AD15" s="277">
        <v>1</v>
      </c>
      <c r="AE15" s="277">
        <v>1</v>
      </c>
      <c r="AF15" s="277">
        <v>1</v>
      </c>
      <c r="AG15" s="277">
        <v>0</v>
      </c>
      <c r="AH15" s="277">
        <v>2</v>
      </c>
      <c r="AI15" s="277">
        <v>1</v>
      </c>
      <c r="AJ15" s="277">
        <v>0</v>
      </c>
      <c r="AK15" s="277">
        <v>0</v>
      </c>
      <c r="AL15" s="277">
        <v>0</v>
      </c>
      <c r="AM15" s="277">
        <v>4</v>
      </c>
      <c r="AN15" s="277">
        <v>0</v>
      </c>
      <c r="AO15" s="278">
        <v>0</v>
      </c>
    </row>
    <row r="16" spans="1:41" ht="15" thickTop="1" thickBot="1" x14ac:dyDescent="0.3">
      <c r="A16" s="272" t="s">
        <v>391</v>
      </c>
      <c r="B16" s="51" t="s">
        <v>14</v>
      </c>
      <c r="C16" s="343">
        <v>1</v>
      </c>
      <c r="D16" s="344">
        <v>2</v>
      </c>
      <c r="E16" s="344">
        <v>0</v>
      </c>
      <c r="F16" s="344">
        <v>1</v>
      </c>
      <c r="G16" s="274">
        <v>0</v>
      </c>
      <c r="H16" s="274">
        <v>0</v>
      </c>
      <c r="I16" s="344">
        <v>0</v>
      </c>
      <c r="J16" s="344">
        <v>0</v>
      </c>
      <c r="K16" s="344">
        <v>1</v>
      </c>
      <c r="L16" s="344">
        <v>0</v>
      </c>
      <c r="M16" s="344">
        <v>0</v>
      </c>
      <c r="N16" s="344">
        <v>0</v>
      </c>
      <c r="O16" s="344">
        <v>0</v>
      </c>
      <c r="P16" s="344">
        <v>0</v>
      </c>
      <c r="Q16" s="344">
        <v>0</v>
      </c>
      <c r="R16" s="344">
        <v>1</v>
      </c>
      <c r="S16" s="344">
        <v>1</v>
      </c>
      <c r="T16" s="344">
        <v>1</v>
      </c>
      <c r="U16" s="344">
        <v>1</v>
      </c>
      <c r="V16" s="344">
        <v>0</v>
      </c>
      <c r="W16" s="344">
        <v>0</v>
      </c>
      <c r="X16" s="344">
        <v>0</v>
      </c>
      <c r="Y16" s="344">
        <v>0</v>
      </c>
      <c r="Z16" s="344">
        <v>0</v>
      </c>
      <c r="AA16" s="344">
        <v>0</v>
      </c>
      <c r="AB16" s="344">
        <v>0</v>
      </c>
      <c r="AC16" s="344">
        <v>0</v>
      </c>
      <c r="AD16" s="344">
        <v>2</v>
      </c>
      <c r="AE16" s="344">
        <v>1</v>
      </c>
      <c r="AF16" s="344">
        <v>0</v>
      </c>
      <c r="AG16" s="344">
        <v>0</v>
      </c>
      <c r="AH16" s="344">
        <v>4</v>
      </c>
      <c r="AI16" s="344">
        <v>1</v>
      </c>
      <c r="AJ16" s="344">
        <v>0</v>
      </c>
      <c r="AK16" s="344">
        <v>0</v>
      </c>
      <c r="AL16" s="344">
        <v>0</v>
      </c>
      <c r="AM16" s="344">
        <v>1</v>
      </c>
      <c r="AN16" s="344">
        <v>0</v>
      </c>
      <c r="AO16" s="345">
        <v>0</v>
      </c>
    </row>
    <row r="17" spans="1:41" ht="15" thickTop="1" thickBot="1" x14ac:dyDescent="0.3">
      <c r="A17" s="272" t="s">
        <v>544</v>
      </c>
      <c r="B17" s="51" t="s">
        <v>15</v>
      </c>
      <c r="C17" s="276">
        <v>1</v>
      </c>
      <c r="D17" s="277">
        <v>1</v>
      </c>
      <c r="E17" s="277">
        <v>0</v>
      </c>
      <c r="F17" s="277">
        <v>0</v>
      </c>
      <c r="G17" s="342">
        <v>0</v>
      </c>
      <c r="H17" s="342">
        <v>0</v>
      </c>
      <c r="I17" s="277">
        <v>1</v>
      </c>
      <c r="J17" s="277">
        <v>0</v>
      </c>
      <c r="K17" s="277">
        <v>0</v>
      </c>
      <c r="L17" s="277">
        <v>0</v>
      </c>
      <c r="M17" s="277">
        <v>0</v>
      </c>
      <c r="N17" s="277">
        <v>0</v>
      </c>
      <c r="O17" s="277">
        <v>0</v>
      </c>
      <c r="P17" s="277">
        <v>0</v>
      </c>
      <c r="Q17" s="277">
        <v>1</v>
      </c>
      <c r="R17" s="277">
        <v>0</v>
      </c>
      <c r="S17" s="277">
        <v>0</v>
      </c>
      <c r="T17" s="277">
        <v>1</v>
      </c>
      <c r="U17" s="277">
        <v>0</v>
      </c>
      <c r="V17" s="277">
        <v>1</v>
      </c>
      <c r="W17" s="277">
        <v>1</v>
      </c>
      <c r="X17" s="277">
        <v>0</v>
      </c>
      <c r="Y17" s="277">
        <v>1</v>
      </c>
      <c r="Z17" s="277">
        <v>0</v>
      </c>
      <c r="AA17" s="277">
        <v>0</v>
      </c>
      <c r="AB17" s="277">
        <v>1</v>
      </c>
      <c r="AC17" s="277">
        <v>2</v>
      </c>
      <c r="AD17" s="277">
        <v>0</v>
      </c>
      <c r="AE17" s="277">
        <v>1</v>
      </c>
      <c r="AF17" s="277">
        <v>2</v>
      </c>
      <c r="AG17" s="277">
        <v>1</v>
      </c>
      <c r="AH17" s="277">
        <v>2</v>
      </c>
      <c r="AI17" s="277">
        <v>1</v>
      </c>
      <c r="AJ17" s="277">
        <v>0</v>
      </c>
      <c r="AK17" s="277">
        <v>0</v>
      </c>
      <c r="AL17" s="277">
        <v>0</v>
      </c>
      <c r="AM17" s="277">
        <v>0</v>
      </c>
      <c r="AN17" s="277">
        <v>0</v>
      </c>
      <c r="AO17" s="278">
        <v>0</v>
      </c>
    </row>
    <row r="18" spans="1:41" ht="15" thickTop="1" thickBot="1" x14ac:dyDescent="0.3">
      <c r="A18" s="272" t="s">
        <v>392</v>
      </c>
      <c r="B18" s="51" t="s">
        <v>15</v>
      </c>
      <c r="C18" s="279">
        <v>2</v>
      </c>
      <c r="D18" s="280">
        <v>1</v>
      </c>
      <c r="E18" s="280">
        <v>1</v>
      </c>
      <c r="F18" s="280">
        <v>0</v>
      </c>
      <c r="G18" s="274">
        <v>0</v>
      </c>
      <c r="H18" s="274">
        <v>0</v>
      </c>
      <c r="I18" s="280">
        <v>0</v>
      </c>
      <c r="J18" s="280">
        <v>0</v>
      </c>
      <c r="K18" s="280">
        <v>1</v>
      </c>
      <c r="L18" s="280">
        <v>0</v>
      </c>
      <c r="M18" s="280">
        <v>0</v>
      </c>
      <c r="N18" s="280">
        <v>0</v>
      </c>
      <c r="O18" s="280">
        <v>0</v>
      </c>
      <c r="P18" s="280">
        <v>0</v>
      </c>
      <c r="Q18" s="280">
        <v>2</v>
      </c>
      <c r="R18" s="280">
        <v>0</v>
      </c>
      <c r="S18" s="280">
        <v>1</v>
      </c>
      <c r="T18" s="280">
        <v>1</v>
      </c>
      <c r="U18" s="280">
        <v>0</v>
      </c>
      <c r="V18" s="280">
        <v>1</v>
      </c>
      <c r="W18" s="280">
        <v>1</v>
      </c>
      <c r="X18" s="280">
        <v>0</v>
      </c>
      <c r="Y18" s="280">
        <v>0</v>
      </c>
      <c r="Z18" s="280">
        <v>0</v>
      </c>
      <c r="AA18" s="280">
        <v>0</v>
      </c>
      <c r="AB18" s="280">
        <v>0</v>
      </c>
      <c r="AC18" s="280">
        <v>2</v>
      </c>
      <c r="AD18" s="280">
        <v>0</v>
      </c>
      <c r="AE18" s="280">
        <v>1</v>
      </c>
      <c r="AF18" s="280">
        <v>0</v>
      </c>
      <c r="AG18" s="280">
        <v>1</v>
      </c>
      <c r="AH18" s="280">
        <v>2</v>
      </c>
      <c r="AI18" s="280">
        <v>1</v>
      </c>
      <c r="AJ18" s="280">
        <v>0</v>
      </c>
      <c r="AK18" s="280">
        <v>0</v>
      </c>
      <c r="AL18" s="280">
        <v>0</v>
      </c>
      <c r="AM18" s="280">
        <v>0</v>
      </c>
      <c r="AN18" s="280">
        <v>0</v>
      </c>
      <c r="AO18" s="281">
        <v>0</v>
      </c>
    </row>
    <row r="19" spans="1:41" ht="15" thickTop="1" thickBot="1" x14ac:dyDescent="0.3">
      <c r="A19" s="272" t="s">
        <v>388</v>
      </c>
      <c r="B19" s="51" t="s">
        <v>19</v>
      </c>
      <c r="C19" s="276">
        <v>0</v>
      </c>
      <c r="D19" s="277">
        <v>1</v>
      </c>
      <c r="E19" s="277">
        <v>0</v>
      </c>
      <c r="F19" s="277">
        <v>1</v>
      </c>
      <c r="G19" s="342">
        <v>0</v>
      </c>
      <c r="H19" s="342">
        <v>0</v>
      </c>
      <c r="I19" s="277">
        <v>0</v>
      </c>
      <c r="J19" s="277">
        <v>1</v>
      </c>
      <c r="K19" s="277">
        <v>0</v>
      </c>
      <c r="L19" s="277">
        <v>0</v>
      </c>
      <c r="M19" s="277">
        <v>0</v>
      </c>
      <c r="N19" s="277">
        <v>0</v>
      </c>
      <c r="O19" s="277">
        <v>0</v>
      </c>
      <c r="P19" s="277">
        <v>0</v>
      </c>
      <c r="Q19" s="277">
        <v>0</v>
      </c>
      <c r="R19" s="277">
        <v>0</v>
      </c>
      <c r="S19" s="277">
        <v>0</v>
      </c>
      <c r="T19" s="277">
        <v>0</v>
      </c>
      <c r="U19" s="277">
        <v>1</v>
      </c>
      <c r="V19" s="277">
        <v>0</v>
      </c>
      <c r="W19" s="277">
        <v>0</v>
      </c>
      <c r="X19" s="277">
        <v>1</v>
      </c>
      <c r="Y19" s="277">
        <v>1</v>
      </c>
      <c r="Z19" s="277">
        <v>1</v>
      </c>
      <c r="AA19" s="277">
        <v>1</v>
      </c>
      <c r="AB19" s="277">
        <v>1</v>
      </c>
      <c r="AC19" s="277">
        <v>0</v>
      </c>
      <c r="AD19" s="277">
        <v>0</v>
      </c>
      <c r="AE19" s="277">
        <v>1</v>
      </c>
      <c r="AF19" s="277">
        <v>0</v>
      </c>
      <c r="AG19" s="277">
        <v>1</v>
      </c>
      <c r="AH19" s="277">
        <v>2</v>
      </c>
      <c r="AI19" s="277">
        <v>1</v>
      </c>
      <c r="AJ19" s="277">
        <v>3</v>
      </c>
      <c r="AK19" s="277">
        <v>1</v>
      </c>
      <c r="AL19" s="277">
        <v>0</v>
      </c>
      <c r="AM19" s="277">
        <v>0</v>
      </c>
      <c r="AN19" s="277">
        <v>0</v>
      </c>
      <c r="AO19" s="278">
        <v>0</v>
      </c>
    </row>
    <row r="20" spans="1:41" ht="14.4" thickTop="1" x14ac:dyDescent="0.25">
      <c r="A20" s="282" t="s">
        <v>550</v>
      </c>
      <c r="B20" s="226" t="s">
        <v>19</v>
      </c>
      <c r="C20" s="283">
        <v>0</v>
      </c>
      <c r="D20" s="271">
        <v>1</v>
      </c>
      <c r="E20" s="271">
        <v>0</v>
      </c>
      <c r="F20" s="271">
        <v>0</v>
      </c>
      <c r="G20" s="270">
        <v>0</v>
      </c>
      <c r="H20" s="270">
        <v>0</v>
      </c>
      <c r="I20" s="271">
        <v>0</v>
      </c>
      <c r="J20" s="271">
        <v>1</v>
      </c>
      <c r="K20" s="271">
        <v>0</v>
      </c>
      <c r="L20" s="271">
        <v>0</v>
      </c>
      <c r="M20" s="271">
        <v>0</v>
      </c>
      <c r="N20" s="271">
        <v>0</v>
      </c>
      <c r="O20" s="271">
        <v>0</v>
      </c>
      <c r="P20" s="271">
        <v>0</v>
      </c>
      <c r="Q20" s="271">
        <v>0</v>
      </c>
      <c r="R20" s="271">
        <v>0</v>
      </c>
      <c r="S20" s="271">
        <v>0</v>
      </c>
      <c r="T20" s="271">
        <v>0</v>
      </c>
      <c r="U20" s="271">
        <v>1</v>
      </c>
      <c r="V20" s="271">
        <v>1</v>
      </c>
      <c r="W20" s="271">
        <v>1</v>
      </c>
      <c r="X20" s="271">
        <v>1</v>
      </c>
      <c r="Y20" s="271">
        <v>1</v>
      </c>
      <c r="Z20" s="271">
        <v>0</v>
      </c>
      <c r="AA20" s="271">
        <v>0</v>
      </c>
      <c r="AB20" s="271">
        <v>1</v>
      </c>
      <c r="AC20" s="271">
        <v>0</v>
      </c>
      <c r="AD20" s="271">
        <v>0</v>
      </c>
      <c r="AE20" s="271">
        <v>0</v>
      </c>
      <c r="AF20" s="271">
        <v>0</v>
      </c>
      <c r="AG20" s="271">
        <v>1</v>
      </c>
      <c r="AH20" s="271">
        <v>4</v>
      </c>
      <c r="AI20" s="271">
        <v>0</v>
      </c>
      <c r="AJ20" s="271">
        <v>3</v>
      </c>
      <c r="AK20" s="271">
        <v>2</v>
      </c>
      <c r="AL20" s="271">
        <v>0</v>
      </c>
      <c r="AM20" s="271">
        <v>0</v>
      </c>
      <c r="AN20" s="271">
        <v>0</v>
      </c>
      <c r="AO20" s="28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55"/>
  <sheetViews>
    <sheetView zoomScale="146" zoomScaleNormal="146" workbookViewId="0">
      <pane ySplit="1" topLeftCell="A2" activePane="bottomLeft" state="frozen"/>
      <selection pane="bottomLeft" activeCell="G53" sqref="G53"/>
    </sheetView>
  </sheetViews>
  <sheetFormatPr defaultRowHeight="13.8" x14ac:dyDescent="0.25"/>
  <cols>
    <col min="1" max="1" width="19" style="352" bestFit="1" customWidth="1"/>
    <col min="2" max="2" width="19.77734375" style="352" bestFit="1" customWidth="1"/>
    <col min="3" max="9" width="10" style="352" customWidth="1"/>
    <col min="10" max="11" width="10.88671875" style="352" customWidth="1"/>
    <col min="12" max="16384" width="8.88671875" style="352"/>
  </cols>
  <sheetData>
    <row r="1" spans="1:11" x14ac:dyDescent="0.25">
      <c r="A1" s="338" t="s">
        <v>259</v>
      </c>
      <c r="B1" s="339"/>
      <c r="C1" s="340" t="s">
        <v>543</v>
      </c>
      <c r="D1" s="340" t="s">
        <v>567</v>
      </c>
      <c r="E1" s="340" t="s">
        <v>13</v>
      </c>
      <c r="F1" s="340" t="s">
        <v>14</v>
      </c>
      <c r="G1" s="340" t="s">
        <v>15</v>
      </c>
      <c r="H1" s="340" t="s">
        <v>16</v>
      </c>
      <c r="I1" s="340" t="s">
        <v>19</v>
      </c>
      <c r="J1" s="340" t="s">
        <v>17</v>
      </c>
      <c r="K1" s="341" t="s">
        <v>18</v>
      </c>
    </row>
    <row r="2" spans="1:11" x14ac:dyDescent="0.25">
      <c r="A2" s="336" t="s">
        <v>8</v>
      </c>
      <c r="B2" s="334"/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33" t="s">
        <v>68</v>
      </c>
      <c r="B3" s="333" t="s">
        <v>9</v>
      </c>
      <c r="C3" s="355">
        <v>2</v>
      </c>
      <c r="D3" s="355">
        <v>2</v>
      </c>
      <c r="E3" s="355">
        <v>2</v>
      </c>
      <c r="F3" s="355">
        <v>1</v>
      </c>
      <c r="G3" s="355">
        <v>1</v>
      </c>
      <c r="H3" s="355">
        <v>1</v>
      </c>
      <c r="I3" s="355">
        <v>1</v>
      </c>
      <c r="J3" s="355">
        <v>2</v>
      </c>
      <c r="K3" s="356">
        <v>2</v>
      </c>
    </row>
    <row r="4" spans="1:11" x14ac:dyDescent="0.25">
      <c r="A4" s="334" t="s">
        <v>1</v>
      </c>
      <c r="B4" s="334" t="s">
        <v>10</v>
      </c>
      <c r="C4" s="353">
        <v>2</v>
      </c>
      <c r="D4" s="353">
        <v>1</v>
      </c>
      <c r="E4" s="353">
        <v>2</v>
      </c>
      <c r="F4" s="353">
        <v>2</v>
      </c>
      <c r="G4" s="353">
        <v>1</v>
      </c>
      <c r="H4" s="353">
        <v>1</v>
      </c>
      <c r="I4" s="353">
        <v>0</v>
      </c>
      <c r="J4" s="353">
        <v>0</v>
      </c>
      <c r="K4" s="354">
        <v>1</v>
      </c>
    </row>
    <row r="5" spans="1:11" x14ac:dyDescent="0.25">
      <c r="A5" s="333" t="s">
        <v>11</v>
      </c>
      <c r="B5" s="333"/>
      <c r="C5" s="355"/>
      <c r="D5" s="355"/>
      <c r="E5" s="355"/>
      <c r="F5" s="355"/>
      <c r="G5" s="355"/>
      <c r="H5" s="355"/>
      <c r="I5" s="355"/>
      <c r="J5" s="355"/>
      <c r="K5" s="356"/>
    </row>
    <row r="6" spans="1:11" x14ac:dyDescent="0.25">
      <c r="A6" s="334" t="s">
        <v>0</v>
      </c>
      <c r="B6" s="334" t="s">
        <v>9</v>
      </c>
      <c r="C6" s="353">
        <v>1</v>
      </c>
      <c r="D6" s="353">
        <v>2</v>
      </c>
      <c r="E6" s="353">
        <v>1</v>
      </c>
      <c r="F6" s="353">
        <v>0</v>
      </c>
      <c r="G6" s="353">
        <v>0</v>
      </c>
      <c r="H6" s="353">
        <v>1</v>
      </c>
      <c r="I6" s="353">
        <v>0</v>
      </c>
      <c r="J6" s="353">
        <v>0</v>
      </c>
      <c r="K6" s="354">
        <v>2</v>
      </c>
    </row>
    <row r="7" spans="1:11" x14ac:dyDescent="0.25">
      <c r="A7" s="333" t="s">
        <v>1</v>
      </c>
      <c r="B7" s="333" t="s">
        <v>10</v>
      </c>
      <c r="C7" s="355">
        <v>1</v>
      </c>
      <c r="D7" s="355">
        <v>1</v>
      </c>
      <c r="E7" s="355">
        <v>1</v>
      </c>
      <c r="F7" s="355">
        <v>1</v>
      </c>
      <c r="G7" s="355">
        <v>0</v>
      </c>
      <c r="H7" s="355">
        <v>0</v>
      </c>
      <c r="I7" s="355">
        <v>0</v>
      </c>
      <c r="J7" s="355">
        <v>0</v>
      </c>
      <c r="K7" s="356">
        <v>0</v>
      </c>
    </row>
    <row r="8" spans="1:11" x14ac:dyDescent="0.25">
      <c r="A8" s="334" t="s">
        <v>12</v>
      </c>
      <c r="B8" s="334"/>
      <c r="C8" s="353"/>
      <c r="D8" s="353"/>
      <c r="E8" s="353"/>
      <c r="F8" s="353"/>
      <c r="G8" s="353"/>
      <c r="H8" s="353"/>
      <c r="I8" s="353"/>
      <c r="J8" s="353"/>
      <c r="K8" s="354"/>
    </row>
    <row r="9" spans="1:11" x14ac:dyDescent="0.25">
      <c r="A9" s="333" t="s">
        <v>0</v>
      </c>
      <c r="B9" s="333" t="s">
        <v>9</v>
      </c>
      <c r="C9" s="355">
        <v>1</v>
      </c>
      <c r="D9" s="355">
        <v>0</v>
      </c>
      <c r="E9" s="355">
        <v>0</v>
      </c>
      <c r="F9" s="355">
        <v>0</v>
      </c>
      <c r="G9" s="355">
        <v>0</v>
      </c>
      <c r="H9" s="355">
        <v>0</v>
      </c>
      <c r="I9" s="355">
        <v>0</v>
      </c>
      <c r="J9" s="355">
        <v>0</v>
      </c>
      <c r="K9" s="356">
        <v>0</v>
      </c>
    </row>
    <row r="10" spans="1:11" x14ac:dyDescent="0.25">
      <c r="A10" s="334" t="s">
        <v>1</v>
      </c>
      <c r="B10" s="334" t="s">
        <v>10</v>
      </c>
      <c r="C10" s="353">
        <v>1</v>
      </c>
      <c r="D10" s="353">
        <v>0</v>
      </c>
      <c r="E10" s="353">
        <v>0</v>
      </c>
      <c r="F10" s="353">
        <v>0</v>
      </c>
      <c r="G10" s="353">
        <v>0</v>
      </c>
      <c r="H10" s="353">
        <v>0</v>
      </c>
      <c r="I10" s="353">
        <v>0</v>
      </c>
      <c r="J10" s="353">
        <v>0</v>
      </c>
      <c r="K10" s="354">
        <v>0</v>
      </c>
    </row>
    <row r="11" spans="1:11" x14ac:dyDescent="0.25">
      <c r="A11" s="333"/>
      <c r="B11" s="333"/>
      <c r="C11" s="355"/>
      <c r="D11" s="355"/>
      <c r="E11" s="355"/>
      <c r="F11" s="355"/>
      <c r="G11" s="355"/>
      <c r="H11" s="355"/>
      <c r="I11" s="355"/>
      <c r="J11" s="355"/>
      <c r="K11" s="356"/>
    </row>
    <row r="12" spans="1:11" x14ac:dyDescent="0.25">
      <c r="A12" s="337" t="s">
        <v>501</v>
      </c>
      <c r="B12" s="333"/>
      <c r="C12" s="355"/>
      <c r="D12" s="355"/>
      <c r="E12" s="355"/>
      <c r="F12" s="355"/>
      <c r="G12" s="355"/>
      <c r="H12" s="355"/>
      <c r="I12" s="355"/>
      <c r="J12" s="355"/>
      <c r="K12" s="356"/>
    </row>
    <row r="13" spans="1:11" x14ac:dyDescent="0.25">
      <c r="A13" s="334" t="s">
        <v>4</v>
      </c>
      <c r="B13" s="334" t="s">
        <v>20</v>
      </c>
      <c r="C13" s="353">
        <v>1</v>
      </c>
      <c r="D13" s="353">
        <v>0</v>
      </c>
      <c r="E13" s="353">
        <v>1</v>
      </c>
      <c r="F13" s="353">
        <v>2</v>
      </c>
      <c r="G13" s="353">
        <v>2</v>
      </c>
      <c r="H13" s="353">
        <v>1</v>
      </c>
      <c r="I13" s="353">
        <v>2</v>
      </c>
      <c r="J13" s="353">
        <v>1</v>
      </c>
      <c r="K13" s="354">
        <v>1</v>
      </c>
    </row>
    <row r="14" spans="1:11" x14ac:dyDescent="0.25">
      <c r="A14" s="333" t="s">
        <v>2</v>
      </c>
      <c r="B14" s="333" t="s">
        <v>21</v>
      </c>
      <c r="C14" s="355">
        <v>2</v>
      </c>
      <c r="D14" s="355">
        <v>3</v>
      </c>
      <c r="E14" s="355">
        <v>2</v>
      </c>
      <c r="F14" s="355">
        <v>1</v>
      </c>
      <c r="G14" s="355">
        <v>1</v>
      </c>
      <c r="H14" s="355">
        <v>1</v>
      </c>
      <c r="I14" s="355">
        <v>1</v>
      </c>
      <c r="J14" s="355">
        <v>1</v>
      </c>
      <c r="K14" s="356">
        <v>2</v>
      </c>
    </row>
    <row r="15" spans="1:11" x14ac:dyDescent="0.25">
      <c r="A15" s="334"/>
      <c r="B15" s="334"/>
      <c r="C15" s="353"/>
      <c r="D15" s="353"/>
      <c r="E15" s="353"/>
      <c r="F15" s="353"/>
      <c r="G15" s="353"/>
      <c r="H15" s="353"/>
      <c r="I15" s="353"/>
      <c r="J15" s="353"/>
      <c r="K15" s="354"/>
    </row>
    <row r="16" spans="1:11" x14ac:dyDescent="0.25">
      <c r="A16" s="337" t="s">
        <v>32</v>
      </c>
      <c r="B16" s="333"/>
      <c r="C16" s="355"/>
      <c r="D16" s="355"/>
      <c r="E16" s="355"/>
      <c r="F16" s="355"/>
      <c r="G16" s="355"/>
      <c r="H16" s="355"/>
      <c r="I16" s="355"/>
      <c r="J16" s="355"/>
      <c r="K16" s="356"/>
    </row>
    <row r="17" spans="1:11" x14ac:dyDescent="0.25">
      <c r="A17" s="334" t="s">
        <v>1</v>
      </c>
      <c r="B17" s="334" t="s">
        <v>22</v>
      </c>
      <c r="C17" s="353">
        <v>1</v>
      </c>
      <c r="D17" s="353">
        <v>2</v>
      </c>
      <c r="E17" s="353">
        <v>1</v>
      </c>
      <c r="F17" s="353">
        <v>2</v>
      </c>
      <c r="G17" s="353">
        <v>2</v>
      </c>
      <c r="H17" s="353">
        <v>1</v>
      </c>
      <c r="I17" s="353">
        <v>1</v>
      </c>
      <c r="J17" s="353">
        <v>1</v>
      </c>
      <c r="K17" s="354">
        <v>1</v>
      </c>
    </row>
    <row r="18" spans="1:11" x14ac:dyDescent="0.25">
      <c r="A18" s="333" t="s">
        <v>2</v>
      </c>
      <c r="B18" s="333" t="s">
        <v>23</v>
      </c>
      <c r="C18" s="355">
        <v>1</v>
      </c>
      <c r="D18" s="355">
        <v>1</v>
      </c>
      <c r="E18" s="355">
        <v>1</v>
      </c>
      <c r="F18" s="355">
        <v>2</v>
      </c>
      <c r="G18" s="355">
        <v>1</v>
      </c>
      <c r="H18" s="355">
        <v>1</v>
      </c>
      <c r="I18" s="355">
        <v>1</v>
      </c>
      <c r="J18" s="355">
        <v>1</v>
      </c>
      <c r="K18" s="356">
        <v>1</v>
      </c>
    </row>
    <row r="19" spans="1:11" x14ac:dyDescent="0.25">
      <c r="A19" s="334" t="s">
        <v>1</v>
      </c>
      <c r="B19" s="334" t="s">
        <v>24</v>
      </c>
      <c r="C19" s="353">
        <v>1</v>
      </c>
      <c r="D19" s="353">
        <v>0</v>
      </c>
      <c r="E19" s="353">
        <v>1</v>
      </c>
      <c r="F19" s="353">
        <v>2</v>
      </c>
      <c r="G19" s="353">
        <v>1</v>
      </c>
      <c r="H19" s="353">
        <v>1</v>
      </c>
      <c r="I19" s="353">
        <v>0</v>
      </c>
      <c r="J19" s="353">
        <v>1</v>
      </c>
      <c r="K19" s="354">
        <v>0</v>
      </c>
    </row>
    <row r="20" spans="1:11" x14ac:dyDescent="0.25">
      <c r="A20" s="333" t="s">
        <v>0</v>
      </c>
      <c r="B20" s="333" t="s">
        <v>25</v>
      </c>
      <c r="C20" s="355">
        <v>1</v>
      </c>
      <c r="D20" s="355">
        <v>1</v>
      </c>
      <c r="E20" s="355">
        <v>1</v>
      </c>
      <c r="F20" s="355">
        <v>2</v>
      </c>
      <c r="G20" s="355">
        <v>2</v>
      </c>
      <c r="H20" s="355">
        <v>1</v>
      </c>
      <c r="I20" s="355">
        <v>0</v>
      </c>
      <c r="J20" s="355">
        <v>1</v>
      </c>
      <c r="K20" s="356">
        <v>0</v>
      </c>
    </row>
    <row r="21" spans="1:11" x14ac:dyDescent="0.25">
      <c r="A21" s="334" t="s">
        <v>5</v>
      </c>
      <c r="B21" s="334" t="s">
        <v>26</v>
      </c>
      <c r="C21" s="353">
        <v>0</v>
      </c>
      <c r="D21" s="353">
        <v>0</v>
      </c>
      <c r="E21" s="353">
        <v>0</v>
      </c>
      <c r="F21" s="353">
        <v>0</v>
      </c>
      <c r="G21" s="353">
        <v>0</v>
      </c>
      <c r="H21" s="353">
        <v>0</v>
      </c>
      <c r="I21" s="353">
        <v>0</v>
      </c>
      <c r="J21" s="353">
        <v>0</v>
      </c>
      <c r="K21" s="354">
        <v>0</v>
      </c>
    </row>
    <row r="22" spans="1:11" x14ac:dyDescent="0.25">
      <c r="A22" s="333"/>
      <c r="B22" s="333"/>
      <c r="C22" s="355"/>
      <c r="D22" s="355"/>
      <c r="E22" s="355"/>
      <c r="F22" s="355"/>
      <c r="G22" s="355"/>
      <c r="H22" s="355"/>
      <c r="I22" s="355"/>
      <c r="J22" s="355"/>
      <c r="K22" s="356"/>
    </row>
    <row r="23" spans="1:11" x14ac:dyDescent="0.25">
      <c r="A23" s="336" t="s">
        <v>33</v>
      </c>
      <c r="B23" s="334"/>
      <c r="C23" s="353"/>
      <c r="D23" s="353"/>
      <c r="E23" s="353"/>
      <c r="F23" s="353"/>
      <c r="G23" s="353"/>
      <c r="H23" s="353"/>
      <c r="I23" s="353"/>
      <c r="J23" s="353"/>
      <c r="K23" s="354"/>
    </row>
    <row r="24" spans="1:11" x14ac:dyDescent="0.25">
      <c r="A24" s="333" t="s">
        <v>4</v>
      </c>
      <c r="B24" s="333" t="s">
        <v>27</v>
      </c>
      <c r="C24" s="355">
        <v>0</v>
      </c>
      <c r="D24" s="355">
        <v>0</v>
      </c>
      <c r="E24" s="355">
        <v>0</v>
      </c>
      <c r="F24" s="355">
        <v>1</v>
      </c>
      <c r="G24" s="355">
        <v>2</v>
      </c>
      <c r="H24" s="355">
        <v>1</v>
      </c>
      <c r="I24" s="355">
        <v>0</v>
      </c>
      <c r="J24" s="355">
        <v>0</v>
      </c>
      <c r="K24" s="356">
        <v>0</v>
      </c>
    </row>
    <row r="25" spans="1:11" x14ac:dyDescent="0.25">
      <c r="A25" s="334" t="s">
        <v>3</v>
      </c>
      <c r="B25" s="334" t="s">
        <v>28</v>
      </c>
      <c r="C25" s="353">
        <v>0</v>
      </c>
      <c r="D25" s="353">
        <v>0</v>
      </c>
      <c r="E25" s="353">
        <v>0</v>
      </c>
      <c r="F25" s="353">
        <v>0</v>
      </c>
      <c r="G25" s="353">
        <v>2</v>
      </c>
      <c r="H25" s="353">
        <v>1</v>
      </c>
      <c r="I25" s="353">
        <v>0</v>
      </c>
      <c r="J25" s="353">
        <v>0</v>
      </c>
      <c r="K25" s="354">
        <v>0</v>
      </c>
    </row>
    <row r="26" spans="1:11" x14ac:dyDescent="0.25">
      <c r="A26" s="333" t="s">
        <v>76</v>
      </c>
      <c r="B26" s="333" t="s">
        <v>29</v>
      </c>
      <c r="C26" s="355">
        <v>0</v>
      </c>
      <c r="D26" s="355">
        <v>0</v>
      </c>
      <c r="E26" s="355">
        <v>1</v>
      </c>
      <c r="F26" s="355">
        <v>1</v>
      </c>
      <c r="G26" s="355">
        <v>1</v>
      </c>
      <c r="H26" s="355">
        <v>1</v>
      </c>
      <c r="I26" s="355">
        <v>1</v>
      </c>
      <c r="J26" s="355">
        <v>1</v>
      </c>
      <c r="K26" s="356">
        <v>2</v>
      </c>
    </row>
    <row r="27" spans="1:11" x14ac:dyDescent="0.25">
      <c r="A27" s="334" t="s">
        <v>3</v>
      </c>
      <c r="B27" s="334" t="s">
        <v>30</v>
      </c>
      <c r="C27" s="353">
        <v>0</v>
      </c>
      <c r="D27" s="353">
        <v>0</v>
      </c>
      <c r="E27" s="353">
        <v>0</v>
      </c>
      <c r="F27" s="353">
        <v>0</v>
      </c>
      <c r="G27" s="353">
        <v>2</v>
      </c>
      <c r="H27" s="353">
        <v>1</v>
      </c>
      <c r="I27" s="353">
        <v>1</v>
      </c>
      <c r="J27" s="353">
        <v>1</v>
      </c>
      <c r="K27" s="354">
        <v>1</v>
      </c>
    </row>
    <row r="28" spans="1:11" x14ac:dyDescent="0.25">
      <c r="A28" s="333" t="s">
        <v>6</v>
      </c>
      <c r="B28" s="333" t="s">
        <v>26</v>
      </c>
      <c r="C28" s="355">
        <v>0</v>
      </c>
      <c r="D28" s="355">
        <v>0</v>
      </c>
      <c r="E28" s="355">
        <v>0</v>
      </c>
      <c r="F28" s="355">
        <v>0</v>
      </c>
      <c r="G28" s="355">
        <v>0</v>
      </c>
      <c r="H28" s="355">
        <v>0</v>
      </c>
      <c r="I28" s="355">
        <v>0</v>
      </c>
      <c r="J28" s="355">
        <v>0</v>
      </c>
      <c r="K28" s="356">
        <v>0</v>
      </c>
    </row>
    <row r="29" spans="1:11" x14ac:dyDescent="0.25">
      <c r="A29" s="334"/>
      <c r="B29" s="334"/>
      <c r="C29" s="353"/>
      <c r="D29" s="353"/>
      <c r="E29" s="353"/>
      <c r="F29" s="353"/>
      <c r="G29" s="353"/>
      <c r="H29" s="353"/>
      <c r="I29" s="353"/>
      <c r="J29" s="353"/>
      <c r="K29" s="354"/>
    </row>
    <row r="30" spans="1:11" x14ac:dyDescent="0.25">
      <c r="A30" s="337" t="s">
        <v>34</v>
      </c>
      <c r="B30" s="333"/>
      <c r="C30" s="355"/>
      <c r="D30" s="355"/>
      <c r="E30" s="355"/>
      <c r="F30" s="355"/>
      <c r="G30" s="355"/>
      <c r="H30" s="355"/>
      <c r="I30" s="355"/>
      <c r="J30" s="355"/>
      <c r="K30" s="356"/>
    </row>
    <row r="31" spans="1:11" x14ac:dyDescent="0.25">
      <c r="A31" s="334" t="s">
        <v>69</v>
      </c>
      <c r="B31" s="334" t="s">
        <v>31</v>
      </c>
      <c r="C31" s="353">
        <v>0</v>
      </c>
      <c r="D31" s="353">
        <v>0</v>
      </c>
      <c r="E31" s="353"/>
      <c r="F31" s="353">
        <v>0</v>
      </c>
      <c r="G31" s="353">
        <v>2</v>
      </c>
      <c r="H31" s="353">
        <v>1</v>
      </c>
      <c r="I31" s="353">
        <v>0</v>
      </c>
      <c r="J31" s="353">
        <v>0</v>
      </c>
      <c r="K31" s="354"/>
    </row>
    <row r="32" spans="1:11" x14ac:dyDescent="0.25">
      <c r="A32" s="333" t="s">
        <v>70</v>
      </c>
      <c r="B32" s="333" t="s">
        <v>35</v>
      </c>
      <c r="C32" s="355">
        <v>0</v>
      </c>
      <c r="D32" s="355">
        <v>0</v>
      </c>
      <c r="E32" s="355">
        <v>0</v>
      </c>
      <c r="F32" s="355">
        <v>2</v>
      </c>
      <c r="G32" s="355">
        <v>0</v>
      </c>
      <c r="H32" s="355">
        <v>1</v>
      </c>
      <c r="I32" s="355">
        <v>0</v>
      </c>
      <c r="J32" s="355">
        <v>0</v>
      </c>
      <c r="K32" s="356">
        <v>0</v>
      </c>
    </row>
    <row r="33" spans="1:11" x14ac:dyDescent="0.25">
      <c r="A33" s="334" t="s">
        <v>71</v>
      </c>
      <c r="B33" s="334" t="s">
        <v>36</v>
      </c>
      <c r="C33" s="353">
        <v>1</v>
      </c>
      <c r="D33" s="353">
        <v>0</v>
      </c>
      <c r="E33" s="353">
        <v>0</v>
      </c>
      <c r="F33" s="353">
        <v>2</v>
      </c>
      <c r="G33" s="353">
        <v>2</v>
      </c>
      <c r="H33" s="353">
        <v>1</v>
      </c>
      <c r="I33" s="353">
        <v>1</v>
      </c>
      <c r="J33" s="353">
        <v>1</v>
      </c>
      <c r="K33" s="354">
        <v>0</v>
      </c>
    </row>
    <row r="34" spans="1:11" x14ac:dyDescent="0.25">
      <c r="A34" s="333" t="s">
        <v>69</v>
      </c>
      <c r="B34" s="333" t="s">
        <v>37</v>
      </c>
      <c r="C34" s="355">
        <v>1</v>
      </c>
      <c r="D34" s="355">
        <v>1</v>
      </c>
      <c r="E34" s="355">
        <v>1</v>
      </c>
      <c r="F34" s="355">
        <v>2</v>
      </c>
      <c r="G34" s="355">
        <v>1</v>
      </c>
      <c r="H34" s="355">
        <v>1</v>
      </c>
      <c r="I34" s="355">
        <v>1</v>
      </c>
      <c r="J34" s="355">
        <v>1</v>
      </c>
      <c r="K34" s="356">
        <v>1</v>
      </c>
    </row>
    <row r="35" spans="1:11" x14ac:dyDescent="0.25">
      <c r="A35" s="334" t="s">
        <v>72</v>
      </c>
      <c r="B35" s="334" t="s">
        <v>26</v>
      </c>
      <c r="C35" s="353">
        <v>0</v>
      </c>
      <c r="D35" s="353">
        <v>0</v>
      </c>
      <c r="E35" s="353">
        <v>0</v>
      </c>
      <c r="F35" s="353">
        <v>0</v>
      </c>
      <c r="G35" s="353">
        <v>0</v>
      </c>
      <c r="H35" s="353">
        <v>0</v>
      </c>
      <c r="I35" s="353">
        <v>0</v>
      </c>
      <c r="J35" s="353">
        <v>0</v>
      </c>
      <c r="K35" s="354">
        <v>0</v>
      </c>
    </row>
    <row r="36" spans="1:11" x14ac:dyDescent="0.25">
      <c r="A36" s="333"/>
      <c r="B36" s="333"/>
      <c r="C36" s="355"/>
      <c r="D36" s="355"/>
      <c r="E36" s="355"/>
      <c r="F36" s="355"/>
      <c r="G36" s="355"/>
      <c r="H36" s="355"/>
      <c r="I36" s="355"/>
      <c r="J36" s="355"/>
      <c r="K36" s="356"/>
    </row>
    <row r="37" spans="1:11" x14ac:dyDescent="0.25">
      <c r="A37" s="336" t="s">
        <v>38</v>
      </c>
      <c r="B37" s="334"/>
      <c r="C37" s="353"/>
      <c r="D37" s="353"/>
      <c r="E37" s="353"/>
      <c r="F37" s="353"/>
      <c r="G37" s="353"/>
      <c r="H37" s="353"/>
      <c r="I37" s="353"/>
      <c r="J37" s="353"/>
      <c r="K37" s="354"/>
    </row>
    <row r="38" spans="1:11" x14ac:dyDescent="0.25">
      <c r="A38" s="333" t="s">
        <v>1</v>
      </c>
      <c r="B38" s="333" t="s">
        <v>40</v>
      </c>
      <c r="C38" s="355">
        <v>1</v>
      </c>
      <c r="D38" s="355">
        <v>1</v>
      </c>
      <c r="E38" s="355">
        <v>1</v>
      </c>
      <c r="F38" s="355">
        <v>1</v>
      </c>
      <c r="G38" s="355">
        <v>1</v>
      </c>
      <c r="H38" s="355">
        <v>1</v>
      </c>
      <c r="I38" s="355">
        <v>1</v>
      </c>
      <c r="J38" s="355">
        <v>1</v>
      </c>
      <c r="K38" s="356">
        <v>1</v>
      </c>
    </row>
    <row r="39" spans="1:11" x14ac:dyDescent="0.25">
      <c r="A39" s="334" t="s">
        <v>1</v>
      </c>
      <c r="B39" s="334" t="s">
        <v>41</v>
      </c>
      <c r="C39" s="353">
        <v>1</v>
      </c>
      <c r="D39" s="353">
        <v>1</v>
      </c>
      <c r="E39" s="353">
        <v>1</v>
      </c>
      <c r="F39" s="353">
        <v>1</v>
      </c>
      <c r="G39" s="353">
        <v>1</v>
      </c>
      <c r="H39" s="353">
        <v>1</v>
      </c>
      <c r="I39" s="353">
        <v>1</v>
      </c>
      <c r="J39" s="353">
        <v>1</v>
      </c>
      <c r="K39" s="354">
        <v>1</v>
      </c>
    </row>
    <row r="40" spans="1:11" x14ac:dyDescent="0.25">
      <c r="A40" s="333" t="s">
        <v>73</v>
      </c>
      <c r="B40" s="333" t="s">
        <v>42</v>
      </c>
      <c r="C40" s="355">
        <v>1</v>
      </c>
      <c r="D40" s="355">
        <v>1</v>
      </c>
      <c r="E40" s="355">
        <v>1</v>
      </c>
      <c r="F40" s="355">
        <v>1</v>
      </c>
      <c r="G40" s="355">
        <v>1</v>
      </c>
      <c r="H40" s="355">
        <v>1</v>
      </c>
      <c r="I40" s="355"/>
      <c r="J40" s="355">
        <v>0</v>
      </c>
      <c r="K40" s="356">
        <v>1</v>
      </c>
    </row>
    <row r="41" spans="1:11" x14ac:dyDescent="0.25">
      <c r="A41" s="334" t="s">
        <v>74</v>
      </c>
      <c r="B41" s="334" t="s">
        <v>43</v>
      </c>
      <c r="C41" s="353">
        <v>1</v>
      </c>
      <c r="D41" s="353">
        <v>1</v>
      </c>
      <c r="E41" s="353">
        <v>1</v>
      </c>
      <c r="F41" s="353">
        <v>0</v>
      </c>
      <c r="G41" s="353">
        <v>1</v>
      </c>
      <c r="H41" s="353">
        <v>1</v>
      </c>
      <c r="I41" s="353"/>
      <c r="J41" s="353"/>
      <c r="K41" s="354">
        <v>1</v>
      </c>
    </row>
    <row r="42" spans="1:11" x14ac:dyDescent="0.25">
      <c r="A42" s="333" t="s">
        <v>0</v>
      </c>
      <c r="B42" s="333" t="s">
        <v>44</v>
      </c>
      <c r="C42" s="355">
        <v>1</v>
      </c>
      <c r="D42" s="355">
        <v>0</v>
      </c>
      <c r="E42" s="355">
        <v>1</v>
      </c>
      <c r="F42" s="355"/>
      <c r="G42" s="355"/>
      <c r="H42" s="355">
        <v>0</v>
      </c>
      <c r="I42" s="355"/>
      <c r="J42" s="355"/>
      <c r="K42" s="356">
        <v>0</v>
      </c>
    </row>
    <row r="43" spans="1:11" x14ac:dyDescent="0.25">
      <c r="A43" s="334" t="s">
        <v>75</v>
      </c>
      <c r="B43" s="334" t="s">
        <v>45</v>
      </c>
      <c r="C43" s="353">
        <v>0</v>
      </c>
      <c r="D43" s="353"/>
      <c r="E43" s="353">
        <v>0</v>
      </c>
      <c r="F43" s="353"/>
      <c r="G43" s="353"/>
      <c r="H43" s="353"/>
      <c r="I43" s="353"/>
      <c r="J43" s="353"/>
      <c r="K43" s="354">
        <v>0</v>
      </c>
    </row>
    <row r="44" spans="1:11" x14ac:dyDescent="0.25">
      <c r="A44" s="333" t="s">
        <v>0</v>
      </c>
      <c r="B44" s="333" t="s">
        <v>46</v>
      </c>
      <c r="C44" s="355">
        <v>1</v>
      </c>
      <c r="D44" s="355">
        <v>1</v>
      </c>
      <c r="E44" s="355">
        <v>0</v>
      </c>
      <c r="F44" s="355"/>
      <c r="G44" s="355"/>
      <c r="H44" s="355"/>
      <c r="I44" s="355"/>
      <c r="J44" s="355"/>
      <c r="K44" s="356"/>
    </row>
    <row r="45" spans="1:11" x14ac:dyDescent="0.25">
      <c r="A45" s="334" t="s">
        <v>0</v>
      </c>
      <c r="B45" s="334" t="s">
        <v>47</v>
      </c>
      <c r="C45" s="353">
        <v>1</v>
      </c>
      <c r="D45" s="353"/>
      <c r="E45" s="353">
        <v>1</v>
      </c>
      <c r="F45" s="353"/>
      <c r="G45" s="353"/>
      <c r="H45" s="353">
        <v>0</v>
      </c>
      <c r="I45" s="353"/>
      <c r="J45" s="353"/>
      <c r="K45" s="354">
        <v>1</v>
      </c>
    </row>
    <row r="46" spans="1:11" x14ac:dyDescent="0.25">
      <c r="A46" s="333"/>
      <c r="B46" s="333"/>
      <c r="C46" s="355"/>
      <c r="D46" s="355"/>
      <c r="E46" s="355"/>
      <c r="F46" s="355"/>
      <c r="G46" s="355"/>
      <c r="H46" s="355"/>
      <c r="I46" s="355"/>
      <c r="J46" s="355"/>
      <c r="K46" s="356"/>
    </row>
    <row r="47" spans="1:11" x14ac:dyDescent="0.25">
      <c r="A47" s="336" t="s">
        <v>48</v>
      </c>
      <c r="B47" s="334"/>
      <c r="C47" s="353"/>
      <c r="D47" s="353"/>
      <c r="E47" s="353"/>
      <c r="F47" s="353"/>
      <c r="G47" s="353"/>
      <c r="H47" s="353"/>
      <c r="I47" s="353"/>
      <c r="J47" s="353"/>
      <c r="K47" s="354"/>
    </row>
    <row r="48" spans="1:11" x14ac:dyDescent="0.25">
      <c r="A48" s="333" t="s">
        <v>3</v>
      </c>
      <c r="B48" s="333" t="s">
        <v>49</v>
      </c>
      <c r="C48" s="355">
        <v>0</v>
      </c>
      <c r="D48" s="355"/>
      <c r="E48" s="355">
        <v>0</v>
      </c>
      <c r="F48" s="355">
        <v>0</v>
      </c>
      <c r="G48" s="355">
        <v>3</v>
      </c>
      <c r="H48" s="355">
        <v>2</v>
      </c>
      <c r="I48" s="355">
        <v>1</v>
      </c>
      <c r="J48" s="355">
        <v>2</v>
      </c>
      <c r="K48" s="356">
        <v>2</v>
      </c>
    </row>
    <row r="49" spans="1:11" x14ac:dyDescent="0.25">
      <c r="A49" s="334" t="s">
        <v>4</v>
      </c>
      <c r="B49" s="334" t="s">
        <v>50</v>
      </c>
      <c r="C49" s="353">
        <v>0</v>
      </c>
      <c r="D49" s="353">
        <v>0</v>
      </c>
      <c r="E49" s="353">
        <v>0</v>
      </c>
      <c r="F49" s="353">
        <v>1</v>
      </c>
      <c r="G49" s="353">
        <v>3</v>
      </c>
      <c r="H49" s="353">
        <v>1</v>
      </c>
      <c r="I49" s="353">
        <v>2</v>
      </c>
      <c r="J49" s="353">
        <v>1</v>
      </c>
      <c r="K49" s="354">
        <v>2</v>
      </c>
    </row>
    <row r="50" spans="1:11" x14ac:dyDescent="0.25">
      <c r="A50" s="333" t="s">
        <v>3</v>
      </c>
      <c r="B50" s="333" t="s">
        <v>51</v>
      </c>
      <c r="C50" s="355">
        <v>0</v>
      </c>
      <c r="D50" s="355"/>
      <c r="E50" s="355"/>
      <c r="F50" s="355">
        <v>0</v>
      </c>
      <c r="G50" s="355">
        <v>0</v>
      </c>
      <c r="H50" s="355">
        <v>0</v>
      </c>
      <c r="I50" s="357">
        <v>2</v>
      </c>
      <c r="J50" s="357">
        <v>1</v>
      </c>
      <c r="K50" s="356"/>
    </row>
    <row r="51" spans="1:11" x14ac:dyDescent="0.25">
      <c r="A51" s="334" t="s">
        <v>4</v>
      </c>
      <c r="B51" s="334" t="s">
        <v>53</v>
      </c>
      <c r="C51" s="353">
        <v>0</v>
      </c>
      <c r="D51" s="353"/>
      <c r="E51" s="353"/>
      <c r="F51" s="353">
        <v>0</v>
      </c>
      <c r="G51" s="353">
        <v>0</v>
      </c>
      <c r="H51" s="353">
        <v>0</v>
      </c>
      <c r="I51" s="358">
        <v>1</v>
      </c>
      <c r="J51" s="358">
        <v>2</v>
      </c>
      <c r="K51" s="354"/>
    </row>
    <row r="52" spans="1:11" x14ac:dyDescent="0.25">
      <c r="A52" s="333" t="s">
        <v>7</v>
      </c>
      <c r="B52" s="333" t="s">
        <v>52</v>
      </c>
      <c r="C52" s="355">
        <v>0</v>
      </c>
      <c r="D52" s="355">
        <v>0</v>
      </c>
      <c r="E52" s="355">
        <v>0</v>
      </c>
      <c r="F52" s="355">
        <v>0</v>
      </c>
      <c r="G52" s="355"/>
      <c r="H52" s="355">
        <v>0</v>
      </c>
      <c r="I52" s="355"/>
      <c r="J52" s="355"/>
      <c r="K52" s="359">
        <v>3</v>
      </c>
    </row>
    <row r="53" spans="1:11" x14ac:dyDescent="0.25">
      <c r="A53" s="334" t="s">
        <v>7</v>
      </c>
      <c r="B53" s="334" t="s">
        <v>147</v>
      </c>
      <c r="C53" s="353"/>
      <c r="D53" s="353"/>
      <c r="E53" s="353">
        <v>1</v>
      </c>
      <c r="F53" s="353"/>
      <c r="G53" s="353"/>
      <c r="H53" s="353"/>
      <c r="I53" s="353"/>
      <c r="J53" s="353"/>
      <c r="K53" s="354"/>
    </row>
    <row r="54" spans="1:11" x14ac:dyDescent="0.25">
      <c r="A54" s="333" t="s">
        <v>3</v>
      </c>
      <c r="B54" s="333" t="s">
        <v>148</v>
      </c>
      <c r="C54" s="355"/>
      <c r="D54" s="355"/>
      <c r="E54" s="355"/>
      <c r="F54" s="355">
        <v>1</v>
      </c>
      <c r="G54" s="355"/>
      <c r="H54" s="355"/>
      <c r="I54" s="355"/>
      <c r="J54" s="355"/>
      <c r="K54" s="356"/>
    </row>
    <row r="55" spans="1:11" x14ac:dyDescent="0.25">
      <c r="A55" s="335" t="s">
        <v>4</v>
      </c>
      <c r="B55" s="335" t="s">
        <v>246</v>
      </c>
      <c r="C55" s="360"/>
      <c r="D55" s="360"/>
      <c r="E55" s="360"/>
      <c r="F55" s="360"/>
      <c r="G55" s="360"/>
      <c r="H55" s="360">
        <v>1</v>
      </c>
      <c r="I55" s="360"/>
      <c r="J55" s="360"/>
      <c r="K55" s="361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L26"/>
  <sheetViews>
    <sheetView zoomScaleNormal="80" zoomScaleSheetLayoutView="100" workbookViewId="0">
      <selection activeCell="J22" sqref="J22:J26"/>
    </sheetView>
  </sheetViews>
  <sheetFormatPr defaultRowHeight="13.8" x14ac:dyDescent="0.2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2" x14ac:dyDescent="0.25">
      <c r="B2" s="53" t="s">
        <v>405</v>
      </c>
      <c r="C2" s="53" t="s">
        <v>61</v>
      </c>
      <c r="D2" s="53" t="s">
        <v>62</v>
      </c>
      <c r="E2" s="53" t="s">
        <v>63</v>
      </c>
      <c r="F2" s="53" t="s">
        <v>64</v>
      </c>
      <c r="G2" s="53" t="s">
        <v>65</v>
      </c>
      <c r="H2" s="53" t="s">
        <v>66</v>
      </c>
      <c r="I2" s="53" t="s">
        <v>566</v>
      </c>
      <c r="J2" s="54" t="s">
        <v>67</v>
      </c>
    </row>
    <row r="3" spans="2:12" x14ac:dyDescent="0.25">
      <c r="B3" s="56" t="s">
        <v>0</v>
      </c>
      <c r="C3" s="57">
        <v>2</v>
      </c>
      <c r="D3" s="57">
        <v>1</v>
      </c>
      <c r="E3" s="57">
        <v>0</v>
      </c>
      <c r="F3" s="57">
        <v>2</v>
      </c>
      <c r="G3" s="57">
        <v>-1</v>
      </c>
      <c r="H3" s="57">
        <v>2</v>
      </c>
      <c r="I3" s="57">
        <v>3</v>
      </c>
      <c r="J3" s="58">
        <v>-1</v>
      </c>
    </row>
    <row r="4" spans="2:12" x14ac:dyDescent="0.25">
      <c r="B4" s="56" t="s">
        <v>1</v>
      </c>
      <c r="C4" s="59">
        <v>1</v>
      </c>
      <c r="D4" s="59">
        <v>2</v>
      </c>
      <c r="E4" s="59">
        <v>3</v>
      </c>
      <c r="F4" s="59">
        <v>-1</v>
      </c>
      <c r="G4" s="59">
        <v>2</v>
      </c>
      <c r="H4" s="59">
        <v>-1</v>
      </c>
      <c r="I4" s="59">
        <v>0</v>
      </c>
      <c r="J4" s="60">
        <v>3</v>
      </c>
    </row>
    <row r="5" spans="2:12" x14ac:dyDescent="0.25">
      <c r="B5" s="56" t="s">
        <v>2</v>
      </c>
      <c r="C5" s="57">
        <v>1</v>
      </c>
      <c r="D5" s="57">
        <v>1</v>
      </c>
      <c r="E5" s="57">
        <v>0</v>
      </c>
      <c r="F5" s="57">
        <v>2</v>
      </c>
      <c r="G5" s="57">
        <v>0</v>
      </c>
      <c r="H5" s="57">
        <v>1</v>
      </c>
      <c r="I5" s="57">
        <v>2</v>
      </c>
      <c r="J5" s="58">
        <v>0</v>
      </c>
    </row>
    <row r="6" spans="2:12" x14ac:dyDescent="0.25">
      <c r="B6" s="56" t="s">
        <v>3</v>
      </c>
      <c r="C6" s="57">
        <v>0</v>
      </c>
      <c r="D6" s="57">
        <v>1</v>
      </c>
      <c r="E6" s="57">
        <v>2</v>
      </c>
      <c r="F6" s="57">
        <v>0</v>
      </c>
      <c r="G6" s="57">
        <v>1</v>
      </c>
      <c r="H6" s="57">
        <v>0</v>
      </c>
      <c r="I6" s="57">
        <v>-3</v>
      </c>
      <c r="J6" s="58">
        <v>0</v>
      </c>
    </row>
    <row r="7" spans="2:12" x14ac:dyDescent="0.25">
      <c r="B7" s="56" t="s">
        <v>4</v>
      </c>
      <c r="C7" s="59">
        <v>0</v>
      </c>
      <c r="D7" s="59">
        <v>1</v>
      </c>
      <c r="E7" s="59">
        <v>2</v>
      </c>
      <c r="F7" s="59">
        <v>0</v>
      </c>
      <c r="G7" s="59">
        <v>2</v>
      </c>
      <c r="H7" s="59">
        <v>0</v>
      </c>
      <c r="I7" s="59">
        <v>-1</v>
      </c>
      <c r="J7" s="60">
        <v>3</v>
      </c>
    </row>
    <row r="8" spans="2:12" x14ac:dyDescent="0.25">
      <c r="B8" s="30" t="s">
        <v>7</v>
      </c>
      <c r="C8" s="31">
        <v>0</v>
      </c>
      <c r="D8" s="31">
        <v>-2</v>
      </c>
      <c r="E8" s="31">
        <v>-3</v>
      </c>
      <c r="F8" s="31">
        <v>1</v>
      </c>
      <c r="G8" s="31">
        <v>0</v>
      </c>
      <c r="H8" s="31">
        <v>2</v>
      </c>
      <c r="I8" s="31">
        <v>0</v>
      </c>
      <c r="J8" s="32">
        <v>-1</v>
      </c>
    </row>
    <row r="10" spans="2:12" x14ac:dyDescent="0.25">
      <c r="B10" s="61" t="s">
        <v>406</v>
      </c>
      <c r="C10" s="62" t="s">
        <v>407</v>
      </c>
      <c r="E10" s="302" t="s">
        <v>61</v>
      </c>
      <c r="F10" s="303" t="s">
        <v>62</v>
      </c>
      <c r="G10" s="303" t="s">
        <v>63</v>
      </c>
      <c r="H10" s="303" t="s">
        <v>64</v>
      </c>
      <c r="I10" s="303" t="s">
        <v>65</v>
      </c>
      <c r="J10" s="303" t="s">
        <v>66</v>
      </c>
      <c r="K10" s="316" t="s">
        <v>566</v>
      </c>
      <c r="L10" s="304" t="s">
        <v>67</v>
      </c>
    </row>
    <row r="11" spans="2:12" x14ac:dyDescent="0.25">
      <c r="B11" s="63" t="s">
        <v>4</v>
      </c>
      <c r="C11" s="64" t="s">
        <v>14</v>
      </c>
      <c r="E11" s="305" t="s">
        <v>16</v>
      </c>
      <c r="F11" s="306" t="s">
        <v>16</v>
      </c>
      <c r="G11" s="306" t="s">
        <v>16</v>
      </c>
      <c r="H11" s="306" t="s">
        <v>567</v>
      </c>
      <c r="I11" s="306" t="s">
        <v>16</v>
      </c>
      <c r="J11" s="306" t="s">
        <v>567</v>
      </c>
      <c r="K11" s="320" t="s">
        <v>543</v>
      </c>
      <c r="L11" s="307" t="s">
        <v>16</v>
      </c>
    </row>
    <row r="12" spans="2:12" x14ac:dyDescent="0.25">
      <c r="B12" s="63" t="s">
        <v>4</v>
      </c>
      <c r="C12" s="64" t="s">
        <v>16</v>
      </c>
      <c r="E12" s="308" t="s">
        <v>567</v>
      </c>
      <c r="F12" s="309" t="s">
        <v>78</v>
      </c>
      <c r="G12" s="309" t="s">
        <v>78</v>
      </c>
      <c r="H12" s="309" t="s">
        <v>18</v>
      </c>
      <c r="I12" s="309" t="s">
        <v>18</v>
      </c>
      <c r="J12" s="309" t="s">
        <v>18</v>
      </c>
      <c r="K12" s="321" t="s">
        <v>567</v>
      </c>
      <c r="L12" s="310" t="s">
        <v>78</v>
      </c>
    </row>
    <row r="13" spans="2:12" x14ac:dyDescent="0.25">
      <c r="B13" s="63" t="s">
        <v>2</v>
      </c>
      <c r="C13" s="64" t="s">
        <v>543</v>
      </c>
      <c r="E13" s="305" t="s">
        <v>18</v>
      </c>
      <c r="F13" s="306" t="s">
        <v>543</v>
      </c>
      <c r="G13" s="306" t="s">
        <v>14</v>
      </c>
      <c r="H13" s="306" t="s">
        <v>78</v>
      </c>
      <c r="I13" s="306" t="s">
        <v>78</v>
      </c>
      <c r="J13" s="306" t="s">
        <v>78</v>
      </c>
      <c r="K13" s="320" t="s">
        <v>18</v>
      </c>
      <c r="L13" s="307" t="s">
        <v>14</v>
      </c>
    </row>
    <row r="14" spans="2:12" x14ac:dyDescent="0.25">
      <c r="B14" s="63" t="s">
        <v>0</v>
      </c>
      <c r="C14" s="64" t="s">
        <v>567</v>
      </c>
      <c r="E14" s="314" t="s">
        <v>78</v>
      </c>
      <c r="F14" s="309" t="s">
        <v>14</v>
      </c>
      <c r="G14" s="309" t="s">
        <v>77</v>
      </c>
      <c r="H14" s="309" t="s">
        <v>543</v>
      </c>
      <c r="I14" s="309" t="s">
        <v>14</v>
      </c>
      <c r="J14" s="309" t="s">
        <v>543</v>
      </c>
      <c r="K14" s="318"/>
      <c r="L14" s="310" t="s">
        <v>77</v>
      </c>
    </row>
    <row r="15" spans="2:12" x14ac:dyDescent="0.25">
      <c r="B15" s="63" t="s">
        <v>7</v>
      </c>
      <c r="C15" s="64" t="s">
        <v>13</v>
      </c>
      <c r="E15" s="315" t="s">
        <v>543</v>
      </c>
      <c r="F15" s="306" t="s">
        <v>77</v>
      </c>
      <c r="G15" s="306" t="s">
        <v>19</v>
      </c>
      <c r="H15" s="306" t="s">
        <v>13</v>
      </c>
      <c r="I15" s="306" t="s">
        <v>77</v>
      </c>
      <c r="J15" s="306" t="s">
        <v>13</v>
      </c>
      <c r="K15" s="317"/>
      <c r="L15" s="307" t="s">
        <v>19</v>
      </c>
    </row>
    <row r="16" spans="2:12" x14ac:dyDescent="0.25">
      <c r="B16" s="63" t="s">
        <v>1</v>
      </c>
      <c r="C16" s="64" t="s">
        <v>77</v>
      </c>
      <c r="E16" s="308" t="s">
        <v>13</v>
      </c>
      <c r="F16" s="309" t="s">
        <v>19</v>
      </c>
      <c r="G16" s="309"/>
      <c r="H16" s="309" t="s">
        <v>19</v>
      </c>
      <c r="I16" s="309" t="s">
        <v>19</v>
      </c>
      <c r="J16" s="309" t="s">
        <v>19</v>
      </c>
      <c r="K16" s="318"/>
      <c r="L16" s="310"/>
    </row>
    <row r="17" spans="2:12" x14ac:dyDescent="0.25">
      <c r="B17" s="63" t="s">
        <v>3</v>
      </c>
      <c r="C17" s="64" t="s">
        <v>19</v>
      </c>
      <c r="E17" s="305" t="s">
        <v>14</v>
      </c>
      <c r="F17" s="306"/>
      <c r="G17" s="306"/>
      <c r="H17" s="306"/>
      <c r="I17" s="306"/>
      <c r="J17" s="306"/>
      <c r="K17" s="317"/>
      <c r="L17" s="307"/>
    </row>
    <row r="18" spans="2:12" x14ac:dyDescent="0.25">
      <c r="B18" s="63" t="s">
        <v>3</v>
      </c>
      <c r="C18" s="64" t="s">
        <v>78</v>
      </c>
      <c r="E18" s="308" t="s">
        <v>77</v>
      </c>
      <c r="F18" s="309"/>
      <c r="G18" s="309"/>
      <c r="H18" s="309"/>
      <c r="I18" s="309"/>
      <c r="J18" s="309"/>
      <c r="K18" s="318"/>
      <c r="L18" s="310"/>
    </row>
    <row r="19" spans="2:12" x14ac:dyDescent="0.25">
      <c r="B19" s="33" t="s">
        <v>7</v>
      </c>
      <c r="C19" s="34" t="s">
        <v>18</v>
      </c>
      <c r="E19" s="311" t="s">
        <v>19</v>
      </c>
      <c r="F19" s="312"/>
      <c r="G19" s="312"/>
      <c r="H19" s="312"/>
      <c r="I19" s="312"/>
      <c r="J19" s="312"/>
      <c r="K19" s="319"/>
      <c r="L19" s="313"/>
    </row>
    <row r="21" spans="2:12" x14ac:dyDescent="0.25">
      <c r="B21" s="65" t="s">
        <v>79</v>
      </c>
      <c r="C21" s="66" t="s">
        <v>408</v>
      </c>
      <c r="D21" s="66" t="s">
        <v>61</v>
      </c>
      <c r="E21" s="66" t="s">
        <v>62</v>
      </c>
      <c r="F21" s="66" t="s">
        <v>63</v>
      </c>
      <c r="G21" s="66" t="s">
        <v>64</v>
      </c>
      <c r="H21" s="66" t="s">
        <v>65</v>
      </c>
      <c r="I21" s="66" t="s">
        <v>66</v>
      </c>
      <c r="J21" s="66" t="s">
        <v>566</v>
      </c>
      <c r="K21" s="67" t="s">
        <v>67</v>
      </c>
    </row>
    <row r="22" spans="2:12" x14ac:dyDescent="0.25">
      <c r="B22" s="68" t="s">
        <v>0</v>
      </c>
      <c r="C22" s="69" t="s">
        <v>80</v>
      </c>
      <c r="D22" s="70">
        <v>0</v>
      </c>
      <c r="E22" s="70">
        <v>1</v>
      </c>
      <c r="F22" s="70">
        <v>1</v>
      </c>
      <c r="G22" s="70">
        <v>2</v>
      </c>
      <c r="H22" s="70">
        <v>0</v>
      </c>
      <c r="I22" s="70">
        <v>1</v>
      </c>
      <c r="J22" s="70">
        <v>2</v>
      </c>
      <c r="K22" s="71">
        <v>0</v>
      </c>
    </row>
    <row r="23" spans="2:12" x14ac:dyDescent="0.25">
      <c r="B23" s="68" t="s">
        <v>2</v>
      </c>
      <c r="C23" s="69" t="s">
        <v>81</v>
      </c>
      <c r="D23" s="72">
        <v>1</v>
      </c>
      <c r="E23" s="72">
        <v>1</v>
      </c>
      <c r="F23" s="72">
        <v>2</v>
      </c>
      <c r="G23" s="72">
        <v>1</v>
      </c>
      <c r="H23" s="72">
        <v>0</v>
      </c>
      <c r="I23" s="72">
        <v>2</v>
      </c>
      <c r="J23" s="72">
        <v>2</v>
      </c>
      <c r="K23" s="73">
        <v>0</v>
      </c>
    </row>
    <row r="24" spans="2:12" x14ac:dyDescent="0.25">
      <c r="B24" s="68" t="s">
        <v>3</v>
      </c>
      <c r="C24" s="69" t="s">
        <v>82</v>
      </c>
      <c r="D24" s="70">
        <v>0</v>
      </c>
      <c r="E24" s="70">
        <v>0</v>
      </c>
      <c r="F24" s="70">
        <v>0</v>
      </c>
      <c r="G24" s="70">
        <v>-1</v>
      </c>
      <c r="H24" s="70">
        <v>0</v>
      </c>
      <c r="I24" s="70">
        <v>-2</v>
      </c>
      <c r="J24" s="70">
        <v>-2</v>
      </c>
      <c r="K24" s="71">
        <v>1</v>
      </c>
    </row>
    <row r="25" spans="2:12" x14ac:dyDescent="0.25">
      <c r="B25" s="68" t="s">
        <v>4</v>
      </c>
      <c r="C25" s="69" t="s">
        <v>53</v>
      </c>
      <c r="D25" s="72">
        <v>0</v>
      </c>
      <c r="E25" s="72">
        <v>0</v>
      </c>
      <c r="F25" s="72">
        <v>0</v>
      </c>
      <c r="G25" s="72">
        <v>0</v>
      </c>
      <c r="H25" s="72">
        <v>0</v>
      </c>
      <c r="I25" s="72">
        <v>0</v>
      </c>
      <c r="J25" s="72">
        <v>-1</v>
      </c>
      <c r="K25" s="73">
        <v>0</v>
      </c>
    </row>
    <row r="26" spans="2:12" x14ac:dyDescent="0.25">
      <c r="B26" s="35" t="s">
        <v>7</v>
      </c>
      <c r="C26" s="36" t="s">
        <v>83</v>
      </c>
      <c r="D26" s="37">
        <v>0</v>
      </c>
      <c r="E26" s="37">
        <v>-1</v>
      </c>
      <c r="F26" s="37">
        <v>-2</v>
      </c>
      <c r="G26" s="37">
        <v>-1</v>
      </c>
      <c r="H26" s="37">
        <v>1</v>
      </c>
      <c r="I26" s="37">
        <v>0</v>
      </c>
      <c r="J26" s="37">
        <v>0</v>
      </c>
      <c r="K26" s="38">
        <v>0</v>
      </c>
    </row>
  </sheetData>
  <sortState ref="E11:E19">
    <sortCondition ref="E1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sqref="A1:C1"/>
    </sheetView>
  </sheetViews>
  <sheetFormatPr defaultRowHeight="13.8" x14ac:dyDescent="0.25"/>
  <cols>
    <col min="1" max="1" width="8.77734375" customWidth="1"/>
    <col min="2" max="2" width="8.77734375" style="228" customWidth="1"/>
    <col min="3" max="3" width="9.44140625" style="1" customWidth="1"/>
  </cols>
  <sheetData>
    <row r="1" spans="1:12" ht="16.2" thickBot="1" x14ac:dyDescent="0.35">
      <c r="A1" s="329" t="s">
        <v>565</v>
      </c>
      <c r="B1" s="330"/>
      <c r="C1" s="331"/>
      <c r="K1" t="s">
        <v>506</v>
      </c>
      <c r="L1" t="s">
        <v>507</v>
      </c>
    </row>
    <row r="2" spans="1:12" ht="14.4" thickBot="1" x14ac:dyDescent="0.3">
      <c r="A2" s="298" t="s">
        <v>157</v>
      </c>
      <c r="B2" s="299" t="s">
        <v>85</v>
      </c>
      <c r="C2" s="289" t="s">
        <v>485</v>
      </c>
      <c r="D2" s="294"/>
      <c r="J2">
        <v>1</v>
      </c>
      <c r="K2">
        <f>Bonus1</f>
        <v>-5</v>
      </c>
      <c r="L2">
        <f>SkillPoints0</f>
        <v>0</v>
      </c>
    </row>
    <row r="3" spans="1:12" x14ac:dyDescent="0.25">
      <c r="A3" s="295">
        <v>1</v>
      </c>
      <c r="B3" s="300">
        <v>-5</v>
      </c>
      <c r="C3" s="290">
        <v>0</v>
      </c>
      <c r="D3" s="294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25">
      <c r="A4" s="296" t="s">
        <v>257</v>
      </c>
      <c r="B4" s="291">
        <v>-3</v>
      </c>
      <c r="C4" s="291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25">
      <c r="A5" s="296" t="s">
        <v>256</v>
      </c>
      <c r="B5" s="301">
        <v>-1</v>
      </c>
      <c r="C5" s="292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25">
      <c r="A6" s="296" t="s">
        <v>346</v>
      </c>
      <c r="B6" s="291">
        <v>0</v>
      </c>
      <c r="C6" s="291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25">
      <c r="A7" s="296" t="s">
        <v>486</v>
      </c>
      <c r="B7" s="301">
        <v>1</v>
      </c>
      <c r="C7" s="292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25">
      <c r="A8" s="296" t="s">
        <v>504</v>
      </c>
      <c r="B8" s="291">
        <v>2</v>
      </c>
      <c r="C8" s="291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25">
      <c r="A9" s="296" t="s">
        <v>505</v>
      </c>
      <c r="B9" s="301">
        <v>3</v>
      </c>
      <c r="C9" s="292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25">
      <c r="A10" s="296" t="s">
        <v>487</v>
      </c>
      <c r="B10" s="291">
        <v>4</v>
      </c>
      <c r="C10" s="291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25">
      <c r="A11" s="296">
        <v>99</v>
      </c>
      <c r="B11" s="301">
        <v>7</v>
      </c>
      <c r="C11" s="292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3">
      <c r="A12" s="297">
        <v>100</v>
      </c>
      <c r="B12" s="293">
        <v>10</v>
      </c>
      <c r="C12" s="293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25">
      <c r="J13">
        <v>12</v>
      </c>
      <c r="K13">
        <f t="shared" si="2"/>
        <v>-1</v>
      </c>
      <c r="L13">
        <f t="shared" si="3"/>
        <v>0</v>
      </c>
    </row>
    <row r="14" spans="1:12" x14ac:dyDescent="0.25">
      <c r="J14">
        <v>13</v>
      </c>
      <c r="K14">
        <f t="shared" si="2"/>
        <v>-1</v>
      </c>
      <c r="L14">
        <f t="shared" si="3"/>
        <v>0</v>
      </c>
    </row>
    <row r="15" spans="1:12" x14ac:dyDescent="0.25">
      <c r="J15">
        <v>14</v>
      </c>
      <c r="K15">
        <f t="shared" si="2"/>
        <v>-1</v>
      </c>
      <c r="L15">
        <f t="shared" si="3"/>
        <v>0</v>
      </c>
    </row>
    <row r="16" spans="1:12" x14ac:dyDescent="0.25">
      <c r="J16">
        <v>15</v>
      </c>
      <c r="K16">
        <f t="shared" si="2"/>
        <v>-1</v>
      </c>
      <c r="L16">
        <f t="shared" si="3"/>
        <v>0</v>
      </c>
    </row>
    <row r="17" spans="10:12" x14ac:dyDescent="0.25">
      <c r="J17">
        <v>16</v>
      </c>
      <c r="K17">
        <f t="shared" si="2"/>
        <v>-1</v>
      </c>
      <c r="L17">
        <f t="shared" si="3"/>
        <v>0</v>
      </c>
    </row>
    <row r="18" spans="10:12" x14ac:dyDescent="0.25">
      <c r="J18">
        <v>17</v>
      </c>
      <c r="K18">
        <f t="shared" si="2"/>
        <v>-1</v>
      </c>
      <c r="L18">
        <f t="shared" si="3"/>
        <v>0</v>
      </c>
    </row>
    <row r="19" spans="10:12" x14ac:dyDescent="0.25">
      <c r="J19">
        <v>18</v>
      </c>
      <c r="K19">
        <f t="shared" si="2"/>
        <v>-1</v>
      </c>
      <c r="L19">
        <f t="shared" si="3"/>
        <v>0</v>
      </c>
    </row>
    <row r="20" spans="10:12" x14ac:dyDescent="0.25">
      <c r="J20">
        <v>19</v>
      </c>
      <c r="K20">
        <f t="shared" si="2"/>
        <v>-1</v>
      </c>
      <c r="L20">
        <f t="shared" si="3"/>
        <v>0</v>
      </c>
    </row>
    <row r="21" spans="10:12" x14ac:dyDescent="0.25">
      <c r="J21">
        <v>20</v>
      </c>
      <c r="K21">
        <f t="shared" si="2"/>
        <v>-1</v>
      </c>
      <c r="L21">
        <f t="shared" si="3"/>
        <v>0</v>
      </c>
    </row>
    <row r="22" spans="10:12" x14ac:dyDescent="0.25">
      <c r="J22">
        <v>21</v>
      </c>
      <c r="K22">
        <f t="shared" si="2"/>
        <v>-1</v>
      </c>
      <c r="L22">
        <f t="shared" si="3"/>
        <v>0</v>
      </c>
    </row>
    <row r="23" spans="10:12" x14ac:dyDescent="0.25">
      <c r="J23">
        <v>22</v>
      </c>
      <c r="K23">
        <f t="shared" si="2"/>
        <v>-1</v>
      </c>
      <c r="L23">
        <f t="shared" si="3"/>
        <v>0</v>
      </c>
    </row>
    <row r="24" spans="10:12" x14ac:dyDescent="0.25">
      <c r="J24">
        <v>23</v>
      </c>
      <c r="K24">
        <f t="shared" si="2"/>
        <v>-1</v>
      </c>
      <c r="L24">
        <f t="shared" si="3"/>
        <v>0</v>
      </c>
    </row>
    <row r="25" spans="10:12" x14ac:dyDescent="0.25">
      <c r="J25">
        <v>24</v>
      </c>
      <c r="K25">
        <f t="shared" si="2"/>
        <v>-1</v>
      </c>
      <c r="L25">
        <f t="shared" si="3"/>
        <v>0</v>
      </c>
    </row>
    <row r="26" spans="10:12" x14ac:dyDescent="0.2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25">
      <c r="J27">
        <v>26</v>
      </c>
      <c r="K27">
        <f t="shared" si="4"/>
        <v>0</v>
      </c>
      <c r="L27">
        <f t="shared" si="5"/>
        <v>0</v>
      </c>
    </row>
    <row r="28" spans="10:12" x14ac:dyDescent="0.25">
      <c r="J28">
        <v>27</v>
      </c>
      <c r="K28">
        <f t="shared" si="4"/>
        <v>0</v>
      </c>
      <c r="L28">
        <f t="shared" si="5"/>
        <v>0</v>
      </c>
    </row>
    <row r="29" spans="10:12" x14ac:dyDescent="0.25">
      <c r="J29">
        <v>28</v>
      </c>
      <c r="K29">
        <f t="shared" si="4"/>
        <v>0</v>
      </c>
      <c r="L29">
        <f t="shared" si="5"/>
        <v>0</v>
      </c>
    </row>
    <row r="30" spans="10:12" x14ac:dyDescent="0.25">
      <c r="J30">
        <v>29</v>
      </c>
      <c r="K30">
        <f t="shared" si="4"/>
        <v>0</v>
      </c>
      <c r="L30">
        <f t="shared" si="5"/>
        <v>0</v>
      </c>
    </row>
    <row r="31" spans="10:12" x14ac:dyDescent="0.25">
      <c r="J31">
        <v>30</v>
      </c>
      <c r="K31">
        <f t="shared" si="4"/>
        <v>0</v>
      </c>
      <c r="L31">
        <f t="shared" si="5"/>
        <v>0</v>
      </c>
    </row>
    <row r="32" spans="10:12" x14ac:dyDescent="0.25">
      <c r="J32">
        <v>31</v>
      </c>
      <c r="K32">
        <f t="shared" si="4"/>
        <v>0</v>
      </c>
      <c r="L32">
        <f t="shared" si="5"/>
        <v>0</v>
      </c>
    </row>
    <row r="33" spans="10:12" x14ac:dyDescent="0.25">
      <c r="J33">
        <v>32</v>
      </c>
      <c r="K33">
        <f t="shared" si="4"/>
        <v>0</v>
      </c>
      <c r="L33">
        <f t="shared" si="5"/>
        <v>0</v>
      </c>
    </row>
    <row r="34" spans="10:12" x14ac:dyDescent="0.25">
      <c r="J34">
        <v>33</v>
      </c>
      <c r="K34">
        <f t="shared" si="4"/>
        <v>0</v>
      </c>
      <c r="L34">
        <f t="shared" si="5"/>
        <v>0</v>
      </c>
    </row>
    <row r="35" spans="10:12" x14ac:dyDescent="0.25">
      <c r="J35">
        <v>34</v>
      </c>
      <c r="K35">
        <f t="shared" si="4"/>
        <v>0</v>
      </c>
      <c r="L35">
        <f t="shared" si="5"/>
        <v>0</v>
      </c>
    </row>
    <row r="36" spans="10:12" x14ac:dyDescent="0.25">
      <c r="J36">
        <v>35</v>
      </c>
      <c r="K36">
        <f t="shared" si="4"/>
        <v>0</v>
      </c>
      <c r="L36">
        <f t="shared" si="5"/>
        <v>0</v>
      </c>
    </row>
    <row r="37" spans="10:12" x14ac:dyDescent="0.25">
      <c r="J37">
        <v>36</v>
      </c>
      <c r="K37">
        <f t="shared" si="4"/>
        <v>0</v>
      </c>
      <c r="L37">
        <f t="shared" si="5"/>
        <v>0</v>
      </c>
    </row>
    <row r="38" spans="10:12" x14ac:dyDescent="0.25">
      <c r="J38">
        <v>37</v>
      </c>
      <c r="K38">
        <f t="shared" si="4"/>
        <v>0</v>
      </c>
      <c r="L38">
        <f t="shared" si="5"/>
        <v>0</v>
      </c>
    </row>
    <row r="39" spans="10:12" x14ac:dyDescent="0.25">
      <c r="J39">
        <v>38</v>
      </c>
      <c r="K39">
        <f t="shared" si="4"/>
        <v>0</v>
      </c>
      <c r="L39">
        <f t="shared" si="5"/>
        <v>0</v>
      </c>
    </row>
    <row r="40" spans="10:12" x14ac:dyDescent="0.25">
      <c r="J40">
        <v>39</v>
      </c>
      <c r="K40">
        <f t="shared" si="4"/>
        <v>0</v>
      </c>
      <c r="L40">
        <f t="shared" si="5"/>
        <v>0</v>
      </c>
    </row>
    <row r="41" spans="10:12" x14ac:dyDescent="0.25">
      <c r="J41">
        <v>40</v>
      </c>
      <c r="K41">
        <f t="shared" si="4"/>
        <v>0</v>
      </c>
      <c r="L41">
        <f t="shared" si="5"/>
        <v>0</v>
      </c>
    </row>
    <row r="42" spans="10:12" x14ac:dyDescent="0.25">
      <c r="J42">
        <v>41</v>
      </c>
      <c r="K42">
        <f t="shared" si="4"/>
        <v>0</v>
      </c>
      <c r="L42">
        <f t="shared" si="5"/>
        <v>0</v>
      </c>
    </row>
    <row r="43" spans="10:12" x14ac:dyDescent="0.25">
      <c r="J43">
        <v>42</v>
      </c>
      <c r="K43">
        <f t="shared" si="4"/>
        <v>0</v>
      </c>
      <c r="L43">
        <f t="shared" si="5"/>
        <v>0</v>
      </c>
    </row>
    <row r="44" spans="10:12" x14ac:dyDescent="0.25">
      <c r="J44">
        <v>43</v>
      </c>
      <c r="K44">
        <f t="shared" si="4"/>
        <v>0</v>
      </c>
      <c r="L44">
        <f t="shared" si="5"/>
        <v>0</v>
      </c>
    </row>
    <row r="45" spans="10:12" x14ac:dyDescent="0.25">
      <c r="J45">
        <v>44</v>
      </c>
      <c r="K45">
        <f t="shared" si="4"/>
        <v>0</v>
      </c>
      <c r="L45">
        <f t="shared" si="5"/>
        <v>0</v>
      </c>
    </row>
    <row r="46" spans="10:12" x14ac:dyDescent="0.25">
      <c r="J46">
        <v>45</v>
      </c>
      <c r="K46">
        <f t="shared" si="4"/>
        <v>0</v>
      </c>
      <c r="L46">
        <f t="shared" si="5"/>
        <v>0</v>
      </c>
    </row>
    <row r="47" spans="10:12" x14ac:dyDescent="0.25">
      <c r="J47">
        <v>46</v>
      </c>
      <c r="K47">
        <f t="shared" si="4"/>
        <v>0</v>
      </c>
      <c r="L47">
        <f t="shared" si="5"/>
        <v>0</v>
      </c>
    </row>
    <row r="48" spans="10:12" x14ac:dyDescent="0.25">
      <c r="J48">
        <v>47</v>
      </c>
      <c r="K48">
        <f t="shared" si="4"/>
        <v>0</v>
      </c>
      <c r="L48">
        <f t="shared" si="5"/>
        <v>0</v>
      </c>
    </row>
    <row r="49" spans="10:12" x14ac:dyDescent="0.25">
      <c r="J49">
        <v>48</v>
      </c>
      <c r="K49">
        <f t="shared" si="4"/>
        <v>0</v>
      </c>
      <c r="L49">
        <f t="shared" si="5"/>
        <v>0</v>
      </c>
    </row>
    <row r="50" spans="10:12" x14ac:dyDescent="0.25">
      <c r="J50">
        <v>49</v>
      </c>
      <c r="K50">
        <f t="shared" si="4"/>
        <v>0</v>
      </c>
      <c r="L50">
        <f t="shared" si="5"/>
        <v>0</v>
      </c>
    </row>
    <row r="51" spans="10:12" x14ac:dyDescent="0.2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25">
      <c r="J52">
        <v>51</v>
      </c>
      <c r="K52">
        <f t="shared" si="6"/>
        <v>1</v>
      </c>
      <c r="L52">
        <f t="shared" si="7"/>
        <v>1</v>
      </c>
    </row>
    <row r="53" spans="10:12" x14ac:dyDescent="0.25">
      <c r="J53">
        <v>52</v>
      </c>
      <c r="K53">
        <f t="shared" si="6"/>
        <v>1</v>
      </c>
      <c r="L53">
        <f t="shared" si="7"/>
        <v>1</v>
      </c>
    </row>
    <row r="54" spans="10:12" x14ac:dyDescent="0.25">
      <c r="J54">
        <v>53</v>
      </c>
      <c r="K54">
        <f t="shared" si="6"/>
        <v>1</v>
      </c>
      <c r="L54">
        <f t="shared" si="7"/>
        <v>1</v>
      </c>
    </row>
    <row r="55" spans="10:12" x14ac:dyDescent="0.25">
      <c r="J55">
        <v>54</v>
      </c>
      <c r="K55">
        <f t="shared" si="6"/>
        <v>1</v>
      </c>
      <c r="L55">
        <f t="shared" si="7"/>
        <v>1</v>
      </c>
    </row>
    <row r="56" spans="10:12" x14ac:dyDescent="0.25">
      <c r="J56">
        <v>55</v>
      </c>
      <c r="K56">
        <f t="shared" si="6"/>
        <v>1</v>
      </c>
      <c r="L56">
        <f t="shared" si="7"/>
        <v>1</v>
      </c>
    </row>
    <row r="57" spans="10:12" x14ac:dyDescent="0.25">
      <c r="J57">
        <v>56</v>
      </c>
      <c r="K57">
        <f t="shared" si="6"/>
        <v>1</v>
      </c>
      <c r="L57">
        <f t="shared" si="7"/>
        <v>1</v>
      </c>
    </row>
    <row r="58" spans="10:12" x14ac:dyDescent="0.25">
      <c r="J58">
        <v>57</v>
      </c>
      <c r="K58">
        <f t="shared" si="6"/>
        <v>1</v>
      </c>
      <c r="L58">
        <f t="shared" si="7"/>
        <v>1</v>
      </c>
    </row>
    <row r="59" spans="10:12" x14ac:dyDescent="0.25">
      <c r="J59">
        <v>58</v>
      </c>
      <c r="K59">
        <f t="shared" si="6"/>
        <v>1</v>
      </c>
      <c r="L59">
        <f t="shared" si="7"/>
        <v>1</v>
      </c>
    </row>
    <row r="60" spans="10:12" x14ac:dyDescent="0.25">
      <c r="J60">
        <v>59</v>
      </c>
      <c r="K60">
        <f t="shared" si="6"/>
        <v>1</v>
      </c>
      <c r="L60">
        <f t="shared" si="7"/>
        <v>1</v>
      </c>
    </row>
    <row r="61" spans="10:12" x14ac:dyDescent="0.25">
      <c r="J61">
        <v>60</v>
      </c>
      <c r="K61">
        <f t="shared" si="6"/>
        <v>1</v>
      </c>
      <c r="L61">
        <f t="shared" si="7"/>
        <v>1</v>
      </c>
    </row>
    <row r="62" spans="10:12" x14ac:dyDescent="0.25">
      <c r="J62">
        <v>61</v>
      </c>
      <c r="K62">
        <f t="shared" si="6"/>
        <v>1</v>
      </c>
      <c r="L62">
        <f t="shared" si="7"/>
        <v>1</v>
      </c>
    </row>
    <row r="63" spans="10:12" x14ac:dyDescent="0.25">
      <c r="J63">
        <v>62</v>
      </c>
      <c r="K63">
        <f t="shared" si="6"/>
        <v>1</v>
      </c>
      <c r="L63">
        <f t="shared" si="7"/>
        <v>1</v>
      </c>
    </row>
    <row r="64" spans="10:12" x14ac:dyDescent="0.25">
      <c r="J64">
        <v>63</v>
      </c>
      <c r="K64">
        <f t="shared" si="6"/>
        <v>1</v>
      </c>
      <c r="L64">
        <f t="shared" si="7"/>
        <v>1</v>
      </c>
    </row>
    <row r="65" spans="10:12" x14ac:dyDescent="0.25">
      <c r="J65">
        <v>64</v>
      </c>
      <c r="K65">
        <f t="shared" si="6"/>
        <v>1</v>
      </c>
      <c r="L65">
        <f t="shared" si="7"/>
        <v>1</v>
      </c>
    </row>
    <row r="66" spans="10:12" x14ac:dyDescent="0.25">
      <c r="J66">
        <v>65</v>
      </c>
      <c r="K66">
        <f t="shared" si="6"/>
        <v>1</v>
      </c>
      <c r="L66">
        <f t="shared" si="7"/>
        <v>1</v>
      </c>
    </row>
    <row r="67" spans="10:12" x14ac:dyDescent="0.25">
      <c r="J67">
        <v>66</v>
      </c>
      <c r="K67">
        <f t="shared" si="6"/>
        <v>1</v>
      </c>
      <c r="L67">
        <f t="shared" si="7"/>
        <v>1</v>
      </c>
    </row>
    <row r="68" spans="10:12" x14ac:dyDescent="0.25">
      <c r="J68">
        <v>67</v>
      </c>
      <c r="K68">
        <f t="shared" si="6"/>
        <v>1</v>
      </c>
      <c r="L68">
        <f t="shared" si="7"/>
        <v>1</v>
      </c>
    </row>
    <row r="69" spans="10:12" x14ac:dyDescent="0.25">
      <c r="J69">
        <v>68</v>
      </c>
      <c r="K69">
        <f t="shared" si="6"/>
        <v>1</v>
      </c>
      <c r="L69">
        <f t="shared" si="7"/>
        <v>1</v>
      </c>
    </row>
    <row r="70" spans="10:12" x14ac:dyDescent="0.25">
      <c r="J70">
        <v>69</v>
      </c>
      <c r="K70">
        <f t="shared" si="6"/>
        <v>1</v>
      </c>
      <c r="L70">
        <f t="shared" si="7"/>
        <v>1</v>
      </c>
    </row>
    <row r="71" spans="10:12" x14ac:dyDescent="0.25">
      <c r="J71">
        <v>70</v>
      </c>
      <c r="K71">
        <f t="shared" si="6"/>
        <v>1</v>
      </c>
      <c r="L71">
        <f t="shared" si="7"/>
        <v>1</v>
      </c>
    </row>
    <row r="72" spans="10:12" x14ac:dyDescent="0.25">
      <c r="J72">
        <v>71</v>
      </c>
      <c r="K72">
        <f t="shared" si="6"/>
        <v>1</v>
      </c>
      <c r="L72">
        <f t="shared" si="7"/>
        <v>1</v>
      </c>
    </row>
    <row r="73" spans="10:12" x14ac:dyDescent="0.25">
      <c r="J73">
        <v>72</v>
      </c>
      <c r="K73">
        <f t="shared" si="6"/>
        <v>1</v>
      </c>
      <c r="L73">
        <f t="shared" si="7"/>
        <v>1</v>
      </c>
    </row>
    <row r="74" spans="10:12" x14ac:dyDescent="0.25">
      <c r="J74">
        <v>73</v>
      </c>
      <c r="K74">
        <f t="shared" si="6"/>
        <v>1</v>
      </c>
      <c r="L74">
        <f t="shared" si="7"/>
        <v>1</v>
      </c>
    </row>
    <row r="75" spans="10:12" x14ac:dyDescent="0.25">
      <c r="J75">
        <v>74</v>
      </c>
      <c r="K75">
        <f t="shared" si="6"/>
        <v>1</v>
      </c>
      <c r="L75">
        <f t="shared" si="7"/>
        <v>1</v>
      </c>
    </row>
    <row r="76" spans="10:12" x14ac:dyDescent="0.25">
      <c r="J76">
        <v>75</v>
      </c>
      <c r="K76">
        <f t="shared" si="6"/>
        <v>1</v>
      </c>
      <c r="L76">
        <f t="shared" si="7"/>
        <v>1</v>
      </c>
    </row>
    <row r="77" spans="10:12" x14ac:dyDescent="0.2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25">
      <c r="J78">
        <v>77</v>
      </c>
      <c r="K78">
        <f t="shared" si="8"/>
        <v>2</v>
      </c>
      <c r="L78">
        <f t="shared" si="9"/>
        <v>2</v>
      </c>
    </row>
    <row r="79" spans="10:12" x14ac:dyDescent="0.25">
      <c r="J79">
        <v>78</v>
      </c>
      <c r="K79">
        <f t="shared" si="8"/>
        <v>2</v>
      </c>
      <c r="L79">
        <f t="shared" si="9"/>
        <v>2</v>
      </c>
    </row>
    <row r="80" spans="10:12" x14ac:dyDescent="0.25">
      <c r="J80">
        <v>79</v>
      </c>
      <c r="K80">
        <f t="shared" si="8"/>
        <v>2</v>
      </c>
      <c r="L80">
        <f t="shared" si="9"/>
        <v>2</v>
      </c>
    </row>
    <row r="81" spans="10:12" x14ac:dyDescent="0.25">
      <c r="J81">
        <v>80</v>
      </c>
      <c r="K81">
        <f t="shared" si="8"/>
        <v>2</v>
      </c>
      <c r="L81">
        <f t="shared" si="9"/>
        <v>2</v>
      </c>
    </row>
    <row r="82" spans="10:12" x14ac:dyDescent="0.25">
      <c r="J82">
        <v>81</v>
      </c>
      <c r="K82">
        <f t="shared" si="8"/>
        <v>2</v>
      </c>
      <c r="L82">
        <f t="shared" si="9"/>
        <v>2</v>
      </c>
    </row>
    <row r="83" spans="10:12" x14ac:dyDescent="0.25">
      <c r="J83">
        <v>82</v>
      </c>
      <c r="K83">
        <f t="shared" si="8"/>
        <v>2</v>
      </c>
      <c r="L83">
        <f t="shared" si="9"/>
        <v>2</v>
      </c>
    </row>
    <row r="84" spans="10:12" x14ac:dyDescent="0.25">
      <c r="J84">
        <v>83</v>
      </c>
      <c r="K84">
        <f t="shared" si="8"/>
        <v>2</v>
      </c>
      <c r="L84">
        <f t="shared" si="9"/>
        <v>2</v>
      </c>
    </row>
    <row r="85" spans="10:12" x14ac:dyDescent="0.25">
      <c r="J85">
        <v>84</v>
      </c>
      <c r="K85">
        <f t="shared" si="8"/>
        <v>2</v>
      </c>
      <c r="L85">
        <f t="shared" si="9"/>
        <v>2</v>
      </c>
    </row>
    <row r="86" spans="10:12" x14ac:dyDescent="0.25">
      <c r="J86">
        <v>85</v>
      </c>
      <c r="K86">
        <f t="shared" si="8"/>
        <v>2</v>
      </c>
      <c r="L86">
        <f t="shared" si="9"/>
        <v>2</v>
      </c>
    </row>
    <row r="87" spans="10:12" x14ac:dyDescent="0.25">
      <c r="J87">
        <v>86</v>
      </c>
      <c r="K87">
        <f t="shared" si="8"/>
        <v>2</v>
      </c>
      <c r="L87">
        <f t="shared" si="9"/>
        <v>2</v>
      </c>
    </row>
    <row r="88" spans="10:12" x14ac:dyDescent="0.25">
      <c r="J88">
        <v>87</v>
      </c>
      <c r="K88">
        <f t="shared" si="8"/>
        <v>2</v>
      </c>
      <c r="L88">
        <f t="shared" si="9"/>
        <v>2</v>
      </c>
    </row>
    <row r="89" spans="10:12" x14ac:dyDescent="0.25">
      <c r="J89">
        <v>88</v>
      </c>
      <c r="K89">
        <f t="shared" si="8"/>
        <v>2</v>
      </c>
      <c r="L89">
        <f t="shared" si="9"/>
        <v>2</v>
      </c>
    </row>
    <row r="90" spans="10:12" x14ac:dyDescent="0.25">
      <c r="J90">
        <v>89</v>
      </c>
      <c r="K90">
        <f t="shared" si="8"/>
        <v>2</v>
      </c>
      <c r="L90">
        <f t="shared" si="9"/>
        <v>2</v>
      </c>
    </row>
    <row r="91" spans="10:12" x14ac:dyDescent="0.25">
      <c r="J91">
        <v>90</v>
      </c>
      <c r="K91">
        <f>Bonus11</f>
        <v>3</v>
      </c>
      <c r="L91">
        <f>SkillPoints6</f>
        <v>3</v>
      </c>
    </row>
    <row r="92" spans="10:12" x14ac:dyDescent="0.25">
      <c r="J92">
        <v>91</v>
      </c>
      <c r="K92">
        <f>Bonus11</f>
        <v>3</v>
      </c>
      <c r="L92">
        <f>SkillPoints6</f>
        <v>3</v>
      </c>
    </row>
    <row r="93" spans="10:12" x14ac:dyDescent="0.25">
      <c r="J93">
        <v>92</v>
      </c>
      <c r="K93">
        <f>Bonus11</f>
        <v>3</v>
      </c>
      <c r="L93">
        <f>SkillPoints6</f>
        <v>3</v>
      </c>
    </row>
    <row r="94" spans="10:12" x14ac:dyDescent="0.25">
      <c r="J94">
        <v>93</v>
      </c>
      <c r="K94">
        <f>Bonus11</f>
        <v>3</v>
      </c>
      <c r="L94">
        <f>SkillPoints6</f>
        <v>3</v>
      </c>
    </row>
    <row r="95" spans="10:12" x14ac:dyDescent="0.25">
      <c r="J95">
        <v>94</v>
      </c>
      <c r="K95">
        <f>Bonus11</f>
        <v>3</v>
      </c>
      <c r="L95">
        <f>SkillPoints6</f>
        <v>3</v>
      </c>
    </row>
    <row r="96" spans="10:12" x14ac:dyDescent="0.25">
      <c r="J96">
        <v>95</v>
      </c>
      <c r="K96">
        <f>Bonus7</f>
        <v>4</v>
      </c>
      <c r="L96">
        <f>SkillPoints7</f>
        <v>4</v>
      </c>
    </row>
    <row r="97" spans="10:12" x14ac:dyDescent="0.25">
      <c r="J97">
        <v>96</v>
      </c>
      <c r="K97">
        <f>Bonus7</f>
        <v>4</v>
      </c>
      <c r="L97">
        <f>SkillPoints7</f>
        <v>4</v>
      </c>
    </row>
    <row r="98" spans="10:12" x14ac:dyDescent="0.25">
      <c r="J98">
        <v>97</v>
      </c>
      <c r="K98">
        <f>Bonus7</f>
        <v>4</v>
      </c>
      <c r="L98">
        <f>SkillPoints7</f>
        <v>4</v>
      </c>
    </row>
    <row r="99" spans="10:12" x14ac:dyDescent="0.25">
      <c r="J99">
        <v>98</v>
      </c>
      <c r="K99">
        <f>Bonus7</f>
        <v>4</v>
      </c>
      <c r="L99">
        <f>SkillPoints7</f>
        <v>4</v>
      </c>
    </row>
    <row r="100" spans="10:12" x14ac:dyDescent="0.25">
      <c r="J100">
        <v>99</v>
      </c>
      <c r="K100">
        <f>Bonus8</f>
        <v>7</v>
      </c>
      <c r="L100">
        <f>SkillPoints8</f>
        <v>5</v>
      </c>
    </row>
    <row r="101" spans="10:12" x14ac:dyDescent="0.2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J26"/>
  <sheetViews>
    <sheetView zoomScaleNormal="80" zoomScaleSheetLayoutView="100" workbookViewId="0">
      <selection activeCell="L22" sqref="L22"/>
    </sheetView>
  </sheetViews>
  <sheetFormatPr defaultRowHeight="13.8" x14ac:dyDescent="0.2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</cols>
  <sheetData>
    <row r="1" spans="1:10" x14ac:dyDescent="0.25">
      <c r="A1" s="11"/>
      <c r="B1" s="12" t="s">
        <v>82</v>
      </c>
      <c r="C1" s="12" t="s">
        <v>82</v>
      </c>
      <c r="D1" s="12" t="s">
        <v>53</v>
      </c>
      <c r="E1" s="12" t="s">
        <v>53</v>
      </c>
      <c r="F1" s="12" t="s">
        <v>86</v>
      </c>
      <c r="G1" s="12" t="s">
        <v>86</v>
      </c>
      <c r="H1" s="12" t="s">
        <v>13</v>
      </c>
      <c r="I1" s="12" t="s">
        <v>14</v>
      </c>
      <c r="J1" s="12" t="s">
        <v>16</v>
      </c>
    </row>
    <row r="2" spans="1:10" x14ac:dyDescent="0.25">
      <c r="A2" s="11"/>
      <c r="B2" s="9" t="s">
        <v>3</v>
      </c>
      <c r="C2" s="9" t="s">
        <v>4</v>
      </c>
      <c r="D2" s="9" t="s">
        <v>3</v>
      </c>
      <c r="E2" s="9" t="s">
        <v>4</v>
      </c>
      <c r="F2" s="9" t="s">
        <v>7</v>
      </c>
      <c r="G2" s="9" t="s">
        <v>7</v>
      </c>
      <c r="H2" s="9" t="s">
        <v>7</v>
      </c>
      <c r="I2" s="9" t="s">
        <v>3</v>
      </c>
      <c r="J2" s="9" t="s">
        <v>4</v>
      </c>
    </row>
    <row r="3" spans="1:10" x14ac:dyDescent="0.25">
      <c r="A3" s="11" t="s">
        <v>84</v>
      </c>
      <c r="B3" s="10" t="s">
        <v>5</v>
      </c>
      <c r="C3" s="10" t="s">
        <v>6</v>
      </c>
      <c r="D3" s="10" t="s">
        <v>398</v>
      </c>
      <c r="E3" s="10" t="s">
        <v>89</v>
      </c>
      <c r="F3" s="10" t="s">
        <v>146</v>
      </c>
      <c r="G3" s="10" t="s">
        <v>83</v>
      </c>
      <c r="H3" s="10" t="s">
        <v>147</v>
      </c>
      <c r="I3" s="10" t="s">
        <v>148</v>
      </c>
      <c r="J3" s="10" t="s">
        <v>246</v>
      </c>
    </row>
    <row r="4" spans="1:10" x14ac:dyDescent="0.25">
      <c r="A4" s="11">
        <v>1</v>
      </c>
      <c r="B4" s="375" t="s">
        <v>141</v>
      </c>
      <c r="C4" s="376"/>
      <c r="D4" s="375" t="s">
        <v>106</v>
      </c>
      <c r="E4" s="376"/>
      <c r="F4" s="375" t="s">
        <v>119</v>
      </c>
      <c r="G4" s="376"/>
      <c r="H4" s="6" t="s">
        <v>133</v>
      </c>
      <c r="I4" s="7" t="s">
        <v>132</v>
      </c>
      <c r="J4" s="8" t="s">
        <v>92</v>
      </c>
    </row>
    <row r="5" spans="1:10" x14ac:dyDescent="0.25">
      <c r="A5" s="11">
        <v>2</v>
      </c>
      <c r="B5" s="375"/>
      <c r="C5" s="376" t="s">
        <v>95</v>
      </c>
      <c r="D5" s="375"/>
      <c r="E5" s="376" t="s">
        <v>108</v>
      </c>
      <c r="F5" s="375"/>
      <c r="G5" s="376" t="s">
        <v>125</v>
      </c>
      <c r="H5" s="6"/>
      <c r="I5" s="7"/>
      <c r="J5" s="8"/>
    </row>
    <row r="6" spans="1:10" x14ac:dyDescent="0.25">
      <c r="A6" s="11">
        <v>3</v>
      </c>
      <c r="B6" s="375" t="s">
        <v>87</v>
      </c>
      <c r="C6" s="376"/>
      <c r="D6" s="375" t="s">
        <v>105</v>
      </c>
      <c r="E6" s="376"/>
      <c r="F6" s="375" t="s">
        <v>123</v>
      </c>
      <c r="G6" s="376"/>
      <c r="H6" s="6"/>
      <c r="I6" s="7"/>
      <c r="J6" s="8" t="s">
        <v>93</v>
      </c>
    </row>
    <row r="7" spans="1:10" x14ac:dyDescent="0.25">
      <c r="A7" s="11">
        <v>4</v>
      </c>
      <c r="B7" s="375"/>
      <c r="C7" s="376" t="s">
        <v>97</v>
      </c>
      <c r="D7" s="375"/>
      <c r="E7" s="376" t="s">
        <v>6</v>
      </c>
      <c r="F7" s="375"/>
      <c r="G7" s="376" t="s">
        <v>124</v>
      </c>
      <c r="H7" s="6" t="s">
        <v>134</v>
      </c>
      <c r="I7" s="7" t="s">
        <v>137</v>
      </c>
      <c r="J7" s="8"/>
    </row>
    <row r="8" spans="1:10" x14ac:dyDescent="0.25">
      <c r="A8" s="11">
        <v>5</v>
      </c>
      <c r="B8" s="375" t="s">
        <v>94</v>
      </c>
      <c r="C8" s="376"/>
      <c r="D8" s="375" t="s">
        <v>107</v>
      </c>
      <c r="E8" s="376"/>
      <c r="F8" s="375" t="s">
        <v>122</v>
      </c>
      <c r="G8" s="376"/>
      <c r="H8" s="6"/>
      <c r="I8" s="7"/>
      <c r="J8" s="8" t="s">
        <v>142</v>
      </c>
    </row>
    <row r="9" spans="1:10" x14ac:dyDescent="0.25">
      <c r="A9" s="11">
        <v>6</v>
      </c>
      <c r="B9" s="375"/>
      <c r="C9" s="376" t="s">
        <v>96</v>
      </c>
      <c r="D9" s="375"/>
      <c r="E9" s="376" t="s">
        <v>5</v>
      </c>
      <c r="F9" s="375"/>
      <c r="G9" s="376" t="s">
        <v>120</v>
      </c>
      <c r="H9" s="6"/>
      <c r="I9" s="7"/>
      <c r="J9" s="8"/>
    </row>
    <row r="10" spans="1:10" x14ac:dyDescent="0.25">
      <c r="A10" s="11">
        <v>7</v>
      </c>
      <c r="B10" s="375" t="s">
        <v>88</v>
      </c>
      <c r="C10" s="376"/>
      <c r="D10" s="375" t="s">
        <v>109</v>
      </c>
      <c r="E10" s="376"/>
      <c r="F10" s="375" t="s">
        <v>90</v>
      </c>
      <c r="G10" s="376"/>
      <c r="H10" s="6" t="s">
        <v>129</v>
      </c>
      <c r="I10" s="7" t="s">
        <v>138</v>
      </c>
      <c r="J10" s="8" t="s">
        <v>143</v>
      </c>
    </row>
    <row r="11" spans="1:10" x14ac:dyDescent="0.25">
      <c r="A11" s="11">
        <v>8</v>
      </c>
      <c r="B11" s="375"/>
      <c r="C11" s="376" t="s">
        <v>98</v>
      </c>
      <c r="D11" s="375"/>
      <c r="E11" s="376" t="s">
        <v>110</v>
      </c>
      <c r="F11" s="375"/>
      <c r="G11" s="376" t="s">
        <v>130</v>
      </c>
      <c r="H11" s="6"/>
      <c r="I11" s="7"/>
      <c r="J11" s="8"/>
    </row>
    <row r="12" spans="1:10" x14ac:dyDescent="0.25">
      <c r="A12" s="11">
        <v>9</v>
      </c>
      <c r="B12" s="375" t="s">
        <v>99</v>
      </c>
      <c r="C12" s="376"/>
      <c r="D12" s="375" t="s">
        <v>112</v>
      </c>
      <c r="E12" s="376"/>
      <c r="F12" s="375" t="s">
        <v>121</v>
      </c>
      <c r="G12" s="376"/>
      <c r="H12" s="6"/>
      <c r="I12" s="7"/>
      <c r="J12" s="8" t="s">
        <v>144</v>
      </c>
    </row>
    <row r="13" spans="1:10" x14ac:dyDescent="0.25">
      <c r="A13" s="11">
        <v>10</v>
      </c>
      <c r="B13" s="375"/>
      <c r="C13" s="376" t="s">
        <v>100</v>
      </c>
      <c r="D13" s="375"/>
      <c r="E13" s="376" t="s">
        <v>113</v>
      </c>
      <c r="F13" s="375"/>
      <c r="G13" s="376" t="s">
        <v>126</v>
      </c>
      <c r="H13" s="6" t="s">
        <v>135</v>
      </c>
      <c r="I13" s="7" t="s">
        <v>139</v>
      </c>
      <c r="J13" s="8"/>
    </row>
    <row r="14" spans="1:10" x14ac:dyDescent="0.25">
      <c r="A14" s="11">
        <v>12</v>
      </c>
      <c r="B14" s="375" t="s">
        <v>101</v>
      </c>
      <c r="C14" s="376"/>
      <c r="D14" s="375" t="s">
        <v>115</v>
      </c>
      <c r="E14" s="376"/>
      <c r="F14" s="375" t="s">
        <v>129</v>
      </c>
      <c r="G14" s="376"/>
      <c r="H14" s="6"/>
      <c r="I14" s="7"/>
      <c r="J14" s="8" t="s">
        <v>145</v>
      </c>
    </row>
    <row r="15" spans="1:10" x14ac:dyDescent="0.25">
      <c r="A15" s="11">
        <v>15</v>
      </c>
      <c r="B15" s="375"/>
      <c r="C15" s="376" t="s">
        <v>102</v>
      </c>
      <c r="D15" s="375"/>
      <c r="E15" s="376" t="s">
        <v>114</v>
      </c>
      <c r="F15" s="375"/>
      <c r="G15" s="376" t="s">
        <v>91</v>
      </c>
      <c r="H15" s="6"/>
      <c r="I15" s="7"/>
      <c r="J15" s="8"/>
    </row>
    <row r="16" spans="1:10" x14ac:dyDescent="0.25">
      <c r="A16" s="11">
        <v>20</v>
      </c>
      <c r="B16" s="375" t="s">
        <v>103</v>
      </c>
      <c r="C16" s="376"/>
      <c r="D16" s="375" t="s">
        <v>117</v>
      </c>
      <c r="E16" s="376"/>
      <c r="F16" s="375" t="s">
        <v>128</v>
      </c>
      <c r="G16" s="376"/>
      <c r="H16" s="6" t="s">
        <v>136</v>
      </c>
      <c r="I16" s="7" t="s">
        <v>140</v>
      </c>
      <c r="J16" s="8"/>
    </row>
    <row r="17" spans="1:10" x14ac:dyDescent="0.25">
      <c r="A17" s="11">
        <v>30</v>
      </c>
      <c r="B17" s="375"/>
      <c r="C17" s="376" t="s">
        <v>104</v>
      </c>
      <c r="D17" s="375"/>
      <c r="E17" s="376" t="s">
        <v>118</v>
      </c>
      <c r="F17" s="375"/>
      <c r="G17" s="376" t="s">
        <v>127</v>
      </c>
      <c r="H17" s="6"/>
      <c r="I17" s="7"/>
      <c r="J17" s="8" t="s">
        <v>90</v>
      </c>
    </row>
    <row r="18" spans="1:10" x14ac:dyDescent="0.25">
      <c r="A18" s="11">
        <v>50</v>
      </c>
      <c r="B18" s="375" t="s">
        <v>111</v>
      </c>
      <c r="C18" s="376"/>
      <c r="D18" s="375" t="s">
        <v>116</v>
      </c>
      <c r="E18" s="376"/>
      <c r="F18" s="375" t="s">
        <v>131</v>
      </c>
      <c r="G18" s="376"/>
      <c r="H18" s="6"/>
      <c r="I18" s="7"/>
      <c r="J18" s="8"/>
    </row>
    <row r="20" spans="1:10" x14ac:dyDescent="0.25">
      <c r="A20" s="363" t="s">
        <v>569</v>
      </c>
      <c r="B20" s="365"/>
      <c r="C20" s="365"/>
      <c r="D20" s="365"/>
      <c r="E20" s="365"/>
      <c r="F20" s="365"/>
      <c r="G20" s="365"/>
      <c r="H20" s="365"/>
      <c r="I20" s="365"/>
      <c r="J20" s="365"/>
    </row>
    <row r="21" spans="1:10" s="13" customFormat="1" x14ac:dyDescent="0.25">
      <c r="A21" s="364"/>
      <c r="B21" s="362" t="s">
        <v>265</v>
      </c>
      <c r="C21" s="366" t="s">
        <v>265</v>
      </c>
      <c r="D21" s="362" t="s">
        <v>263</v>
      </c>
      <c r="E21" s="366" t="s">
        <v>263</v>
      </c>
      <c r="F21" s="362"/>
      <c r="G21" s="366"/>
      <c r="H21" s="378"/>
      <c r="I21" s="368" t="s">
        <v>263</v>
      </c>
      <c r="J21" s="367"/>
    </row>
    <row r="22" spans="1:10" s="13" customFormat="1" x14ac:dyDescent="0.25">
      <c r="A22" s="364"/>
      <c r="B22" s="362" t="s">
        <v>264</v>
      </c>
      <c r="C22" s="366" t="s">
        <v>264</v>
      </c>
      <c r="D22" s="362" t="s">
        <v>264</v>
      </c>
      <c r="E22" s="366" t="s">
        <v>264</v>
      </c>
      <c r="F22" s="362" t="s">
        <v>264</v>
      </c>
      <c r="G22" s="366" t="s">
        <v>264</v>
      </c>
      <c r="H22" s="378"/>
      <c r="I22" s="368" t="s">
        <v>264</v>
      </c>
      <c r="J22" s="367" t="s">
        <v>264</v>
      </c>
    </row>
    <row r="23" spans="1:10" s="13" customFormat="1" x14ac:dyDescent="0.25">
      <c r="A23" s="364"/>
      <c r="B23" s="362" t="s">
        <v>266</v>
      </c>
      <c r="C23" s="366" t="s">
        <v>266</v>
      </c>
      <c r="D23" s="362" t="s">
        <v>266</v>
      </c>
      <c r="E23" s="366" t="s">
        <v>266</v>
      </c>
      <c r="F23" s="362"/>
      <c r="G23" s="366"/>
      <c r="H23" s="378"/>
      <c r="I23" s="368" t="s">
        <v>267</v>
      </c>
      <c r="J23" s="367" t="s">
        <v>266</v>
      </c>
    </row>
    <row r="24" spans="1:10" s="13" customFormat="1" x14ac:dyDescent="0.25">
      <c r="A24" s="15"/>
      <c r="B24" s="362"/>
      <c r="C24" s="362"/>
      <c r="D24" s="362"/>
      <c r="E24" s="362"/>
      <c r="F24" s="362"/>
      <c r="G24" s="362"/>
      <c r="H24" s="362"/>
      <c r="I24" s="362"/>
      <c r="J24" s="362"/>
    </row>
    <row r="25" spans="1:10" s="13" customFormat="1" x14ac:dyDescent="0.25">
      <c r="A25" s="369" t="s">
        <v>568</v>
      </c>
      <c r="B25" s="370"/>
      <c r="C25" s="370"/>
      <c r="D25" s="370"/>
      <c r="E25" s="370"/>
      <c r="F25" s="370"/>
      <c r="G25" s="370"/>
      <c r="H25" s="370"/>
      <c r="I25" s="370"/>
      <c r="J25" s="370"/>
    </row>
    <row r="26" spans="1:10" s="13" customFormat="1" x14ac:dyDescent="0.25">
      <c r="A26" s="371"/>
      <c r="B26" s="362" t="s">
        <v>570</v>
      </c>
      <c r="C26" s="372" t="s">
        <v>570</v>
      </c>
      <c r="D26" s="362" t="s">
        <v>571</v>
      </c>
      <c r="E26" s="372" t="s">
        <v>571</v>
      </c>
      <c r="F26" s="362" t="s">
        <v>572</v>
      </c>
      <c r="G26" s="372" t="s">
        <v>572</v>
      </c>
      <c r="H26" s="377" t="s">
        <v>572</v>
      </c>
      <c r="I26" s="374" t="s">
        <v>571</v>
      </c>
      <c r="J26" s="373" t="s">
        <v>573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68"/>
  <sheetViews>
    <sheetView tabSelected="1" topLeftCell="C1" zoomScaleNormal="80" zoomScaleSheetLayoutView="100" workbookViewId="0">
      <pane ySplit="1" topLeftCell="A42" activePane="bottomLeft" state="frozen"/>
      <selection pane="bottomLeft" activeCell="I64" sqref="I64"/>
    </sheetView>
  </sheetViews>
  <sheetFormatPr defaultRowHeight="13.8" x14ac:dyDescent="0.25"/>
  <cols>
    <col min="1" max="1" width="10.33203125" customWidth="1"/>
    <col min="2" max="2" width="7.6640625" customWidth="1"/>
    <col min="3" max="3" width="14.44140625" customWidth="1"/>
    <col min="4" max="4" width="7.6640625" customWidth="1"/>
    <col min="5" max="5" width="9.44140625" customWidth="1"/>
    <col min="6" max="6" width="8.77734375" customWidth="1"/>
    <col min="7" max="7" width="14" customWidth="1"/>
    <col min="8" max="8" width="16" customWidth="1"/>
    <col min="9" max="9" width="16.77734375" customWidth="1"/>
    <col min="10" max="10" width="118" customWidth="1"/>
  </cols>
  <sheetData>
    <row r="1" spans="1:10" ht="14.4" thickBot="1" x14ac:dyDescent="0.3">
      <c r="A1" s="74" t="s">
        <v>149</v>
      </c>
      <c r="B1" s="75" t="s">
        <v>84</v>
      </c>
      <c r="C1" s="75" t="s">
        <v>150</v>
      </c>
      <c r="D1" s="75" t="s">
        <v>151</v>
      </c>
      <c r="E1" s="75" t="s">
        <v>152</v>
      </c>
      <c r="F1" s="75" t="s">
        <v>157</v>
      </c>
      <c r="G1" s="75" t="s">
        <v>153</v>
      </c>
      <c r="H1" s="75" t="s">
        <v>154</v>
      </c>
      <c r="I1" s="75" t="s">
        <v>173</v>
      </c>
      <c r="J1" s="75" t="s">
        <v>155</v>
      </c>
    </row>
    <row r="2" spans="1:10" ht="14.4" thickTop="1" x14ac:dyDescent="0.25">
      <c r="A2" s="76" t="s">
        <v>5</v>
      </c>
      <c r="B2" s="77">
        <v>1</v>
      </c>
      <c r="C2" s="77" t="s">
        <v>141</v>
      </c>
      <c r="D2" s="78" t="s">
        <v>156</v>
      </c>
      <c r="E2" s="79" t="s">
        <v>153</v>
      </c>
      <c r="F2" s="80" t="s">
        <v>158</v>
      </c>
      <c r="G2" s="80" t="s">
        <v>162</v>
      </c>
      <c r="H2" s="80" t="s">
        <v>167</v>
      </c>
      <c r="I2" s="78" t="s">
        <v>175</v>
      </c>
      <c r="J2" s="78" t="s">
        <v>169</v>
      </c>
    </row>
    <row r="3" spans="1:10" x14ac:dyDescent="0.25">
      <c r="A3" s="81"/>
      <c r="B3" s="82">
        <v>3</v>
      </c>
      <c r="C3" s="82" t="s">
        <v>87</v>
      </c>
      <c r="D3" s="83" t="s">
        <v>156</v>
      </c>
      <c r="E3" s="84">
        <v>1</v>
      </c>
      <c r="F3" s="85" t="s">
        <v>158</v>
      </c>
      <c r="G3" s="86"/>
      <c r="H3" s="85" t="s">
        <v>161</v>
      </c>
      <c r="I3" s="87" t="s">
        <v>174</v>
      </c>
      <c r="J3" s="83" t="s">
        <v>170</v>
      </c>
    </row>
    <row r="4" spans="1:10" x14ac:dyDescent="0.25">
      <c r="A4" s="81"/>
      <c r="B4" s="82">
        <v>5</v>
      </c>
      <c r="C4" s="82" t="s">
        <v>94</v>
      </c>
      <c r="D4" s="87" t="s">
        <v>187</v>
      </c>
      <c r="E4" s="84" t="s">
        <v>153</v>
      </c>
      <c r="F4" s="86" t="s">
        <v>187</v>
      </c>
      <c r="G4" s="86" t="s">
        <v>409</v>
      </c>
      <c r="H4" s="86"/>
      <c r="I4" s="87" t="s">
        <v>176</v>
      </c>
      <c r="J4" s="87" t="s">
        <v>172</v>
      </c>
    </row>
    <row r="5" spans="1:10" x14ac:dyDescent="0.25">
      <c r="A5" s="81"/>
      <c r="B5" s="82">
        <v>7</v>
      </c>
      <c r="C5" s="82" t="s">
        <v>88</v>
      </c>
      <c r="D5" s="83" t="s">
        <v>156</v>
      </c>
      <c r="E5" s="84" t="s">
        <v>153</v>
      </c>
      <c r="F5" s="85" t="s">
        <v>159</v>
      </c>
      <c r="G5" s="86" t="s">
        <v>160</v>
      </c>
      <c r="H5" s="85" t="s">
        <v>168</v>
      </c>
      <c r="I5" s="87" t="s">
        <v>174</v>
      </c>
      <c r="J5" s="83" t="s">
        <v>171</v>
      </c>
    </row>
    <row r="6" spans="1:10" x14ac:dyDescent="0.25">
      <c r="A6" s="81"/>
      <c r="B6" s="82">
        <v>9</v>
      </c>
      <c r="C6" s="82" t="s">
        <v>99</v>
      </c>
      <c r="D6" s="87" t="s">
        <v>156</v>
      </c>
      <c r="E6" s="84">
        <v>1</v>
      </c>
      <c r="F6" s="86" t="s">
        <v>158</v>
      </c>
      <c r="G6" s="86"/>
      <c r="H6" s="86" t="s">
        <v>166</v>
      </c>
      <c r="I6" s="87" t="s">
        <v>174</v>
      </c>
      <c r="J6" s="87" t="s">
        <v>177</v>
      </c>
    </row>
    <row r="7" spans="1:10" x14ac:dyDescent="0.25">
      <c r="A7" s="81"/>
      <c r="B7" s="82">
        <v>12</v>
      </c>
      <c r="C7" s="82" t="s">
        <v>101</v>
      </c>
      <c r="D7" s="83" t="s">
        <v>156</v>
      </c>
      <c r="E7" s="84">
        <v>1</v>
      </c>
      <c r="F7" s="85" t="s">
        <v>159</v>
      </c>
      <c r="G7" s="86"/>
      <c r="H7" s="85"/>
      <c r="I7" s="87" t="s">
        <v>174</v>
      </c>
      <c r="J7" s="83" t="s">
        <v>178</v>
      </c>
    </row>
    <row r="8" spans="1:10" x14ac:dyDescent="0.25">
      <c r="A8" s="81"/>
      <c r="B8" s="82">
        <v>20</v>
      </c>
      <c r="C8" s="82" t="s">
        <v>103</v>
      </c>
      <c r="D8" s="87" t="s">
        <v>187</v>
      </c>
      <c r="E8" s="84"/>
      <c r="F8" s="86"/>
      <c r="G8" s="86"/>
      <c r="H8" s="86"/>
      <c r="I8" s="87" t="s">
        <v>174</v>
      </c>
      <c r="J8" s="87" t="s">
        <v>179</v>
      </c>
    </row>
    <row r="9" spans="1:10" x14ac:dyDescent="0.25">
      <c r="A9" s="81"/>
      <c r="B9" s="82">
        <v>50</v>
      </c>
      <c r="C9" s="82" t="s">
        <v>111</v>
      </c>
      <c r="D9" s="83" t="s">
        <v>156</v>
      </c>
      <c r="E9" s="84">
        <v>1</v>
      </c>
      <c r="F9" s="85" t="s">
        <v>160</v>
      </c>
      <c r="G9" s="86"/>
      <c r="H9" s="85"/>
      <c r="I9" s="87" t="s">
        <v>174</v>
      </c>
      <c r="J9" s="83" t="s">
        <v>180</v>
      </c>
    </row>
    <row r="10" spans="1:10" x14ac:dyDescent="0.25">
      <c r="A10" s="81" t="s">
        <v>6</v>
      </c>
      <c r="B10" s="82">
        <v>2</v>
      </c>
      <c r="C10" s="82" t="s">
        <v>95</v>
      </c>
      <c r="D10" s="87" t="s">
        <v>156</v>
      </c>
      <c r="E10" s="84" t="s">
        <v>153</v>
      </c>
      <c r="F10" s="86" t="s">
        <v>158</v>
      </c>
      <c r="G10" s="86">
        <v>5</v>
      </c>
      <c r="H10" s="86"/>
      <c r="I10" s="87" t="s">
        <v>184</v>
      </c>
      <c r="J10" s="87" t="s">
        <v>181</v>
      </c>
    </row>
    <row r="11" spans="1:10" x14ac:dyDescent="0.25">
      <c r="A11" s="81"/>
      <c r="B11" s="82">
        <v>4</v>
      </c>
      <c r="C11" s="82" t="s">
        <v>97</v>
      </c>
      <c r="D11" s="83" t="s">
        <v>156</v>
      </c>
      <c r="E11" s="84" t="s">
        <v>153</v>
      </c>
      <c r="F11" s="85" t="s">
        <v>158</v>
      </c>
      <c r="G11" s="86">
        <v>5</v>
      </c>
      <c r="H11" s="85"/>
      <c r="I11" s="87" t="s">
        <v>184</v>
      </c>
      <c r="J11" s="83" t="s">
        <v>182</v>
      </c>
    </row>
    <row r="12" spans="1:10" x14ac:dyDescent="0.25">
      <c r="A12" s="81"/>
      <c r="B12" s="82">
        <v>6</v>
      </c>
      <c r="C12" s="82" t="s">
        <v>96</v>
      </c>
      <c r="D12" s="87" t="s">
        <v>156</v>
      </c>
      <c r="E12" s="84">
        <v>1</v>
      </c>
      <c r="F12" s="86" t="s">
        <v>183</v>
      </c>
      <c r="G12" s="86"/>
      <c r="H12" s="86"/>
      <c r="I12" s="87" t="s">
        <v>184</v>
      </c>
      <c r="J12" s="87" t="s">
        <v>185</v>
      </c>
    </row>
    <row r="13" spans="1:10" x14ac:dyDescent="0.25">
      <c r="A13" s="81"/>
      <c r="B13" s="82">
        <v>8</v>
      </c>
      <c r="C13" s="82" t="s">
        <v>98</v>
      </c>
      <c r="D13" s="83" t="s">
        <v>156</v>
      </c>
      <c r="E13" s="84">
        <v>1</v>
      </c>
      <c r="F13" s="85" t="s">
        <v>158</v>
      </c>
      <c r="G13" s="86"/>
      <c r="H13" s="85"/>
      <c r="I13" s="87" t="s">
        <v>184</v>
      </c>
      <c r="J13" s="83" t="s">
        <v>186</v>
      </c>
    </row>
    <row r="14" spans="1:10" x14ac:dyDescent="0.25">
      <c r="A14" s="81"/>
      <c r="B14" s="82">
        <v>10</v>
      </c>
      <c r="C14" s="82" t="s">
        <v>100</v>
      </c>
      <c r="D14" s="87" t="s">
        <v>187</v>
      </c>
      <c r="E14" s="84"/>
      <c r="F14" s="86"/>
      <c r="G14" s="86"/>
      <c r="H14" s="86"/>
      <c r="I14" s="87" t="s">
        <v>174</v>
      </c>
      <c r="J14" s="87" t="s">
        <v>188</v>
      </c>
    </row>
    <row r="15" spans="1:10" x14ac:dyDescent="0.25">
      <c r="A15" s="81"/>
      <c r="B15" s="82">
        <v>15</v>
      </c>
      <c r="C15" s="82" t="s">
        <v>102</v>
      </c>
      <c r="D15" s="83" t="s">
        <v>156</v>
      </c>
      <c r="E15" s="84">
        <v>1</v>
      </c>
      <c r="F15" s="85" t="s">
        <v>183</v>
      </c>
      <c r="G15" s="86"/>
      <c r="H15" s="85"/>
      <c r="I15" s="87" t="s">
        <v>174</v>
      </c>
      <c r="J15" s="83" t="s">
        <v>189</v>
      </c>
    </row>
    <row r="16" spans="1:10" x14ac:dyDescent="0.25">
      <c r="A16" s="81"/>
      <c r="B16" s="82">
        <v>30</v>
      </c>
      <c r="C16" s="82" t="s">
        <v>104</v>
      </c>
      <c r="D16" s="87" t="s">
        <v>156</v>
      </c>
      <c r="E16" s="84">
        <v>1</v>
      </c>
      <c r="F16" s="86" t="s">
        <v>183</v>
      </c>
      <c r="G16" s="86"/>
      <c r="H16" s="86"/>
      <c r="I16" s="87" t="s">
        <v>190</v>
      </c>
      <c r="J16" s="87" t="s">
        <v>191</v>
      </c>
    </row>
    <row r="17" spans="1:10" s="17" customFormat="1" x14ac:dyDescent="0.25">
      <c r="A17" s="88"/>
      <c r="B17" s="83"/>
      <c r="C17" s="87"/>
      <c r="D17" s="83"/>
      <c r="E17" s="87"/>
      <c r="F17" s="83"/>
      <c r="G17" s="87"/>
      <c r="H17" s="83"/>
      <c r="I17" s="87"/>
      <c r="J17" s="83"/>
    </row>
    <row r="18" spans="1:10" x14ac:dyDescent="0.25">
      <c r="A18" s="81" t="s">
        <v>398</v>
      </c>
      <c r="B18" s="82">
        <v>1</v>
      </c>
      <c r="C18" s="82" t="s">
        <v>106</v>
      </c>
      <c r="D18" s="87" t="s">
        <v>187</v>
      </c>
      <c r="E18" s="84"/>
      <c r="F18" s="86" t="s">
        <v>160</v>
      </c>
      <c r="G18" s="86"/>
      <c r="H18" s="86"/>
      <c r="I18" s="87" t="s">
        <v>200</v>
      </c>
      <c r="J18" s="87" t="s">
        <v>192</v>
      </c>
    </row>
    <row r="19" spans="1:10" x14ac:dyDescent="0.25">
      <c r="A19" s="81"/>
      <c r="B19" s="82">
        <v>3</v>
      </c>
      <c r="C19" s="82" t="s">
        <v>105</v>
      </c>
      <c r="D19" s="83" t="s">
        <v>187</v>
      </c>
      <c r="E19" s="84"/>
      <c r="F19" s="85" t="s">
        <v>160</v>
      </c>
      <c r="G19" s="86"/>
      <c r="H19" s="85"/>
      <c r="I19" s="87" t="s">
        <v>200</v>
      </c>
      <c r="J19" s="83" t="s">
        <v>193</v>
      </c>
    </row>
    <row r="20" spans="1:10" x14ac:dyDescent="0.25">
      <c r="A20" s="81"/>
      <c r="B20" s="82">
        <v>5</v>
      </c>
      <c r="C20" s="82" t="s">
        <v>107</v>
      </c>
      <c r="D20" s="87" t="s">
        <v>187</v>
      </c>
      <c r="E20" s="84"/>
      <c r="F20" s="86" t="s">
        <v>160</v>
      </c>
      <c r="G20" s="86"/>
      <c r="H20" s="86"/>
      <c r="I20" s="87" t="s">
        <v>200</v>
      </c>
      <c r="J20" s="87" t="s">
        <v>194</v>
      </c>
    </row>
    <row r="21" spans="1:10" x14ac:dyDescent="0.25">
      <c r="A21" s="81"/>
      <c r="B21" s="82">
        <v>7</v>
      </c>
      <c r="C21" s="82" t="s">
        <v>109</v>
      </c>
      <c r="D21" s="83" t="s">
        <v>187</v>
      </c>
      <c r="E21" s="84"/>
      <c r="F21" s="85" t="s">
        <v>160</v>
      </c>
      <c r="G21" s="86"/>
      <c r="H21" s="85"/>
      <c r="I21" s="87" t="s">
        <v>200</v>
      </c>
      <c r="J21" s="83" t="s">
        <v>195</v>
      </c>
    </row>
    <row r="22" spans="1:10" x14ac:dyDescent="0.25">
      <c r="A22" s="81"/>
      <c r="B22" s="82">
        <v>9</v>
      </c>
      <c r="C22" s="82" t="s">
        <v>112</v>
      </c>
      <c r="D22" s="87" t="s">
        <v>187</v>
      </c>
      <c r="E22" s="84"/>
      <c r="F22" s="86" t="s">
        <v>160</v>
      </c>
      <c r="G22" s="86"/>
      <c r="H22" s="86"/>
      <c r="I22" s="87" t="s">
        <v>200</v>
      </c>
      <c r="J22" s="87" t="s">
        <v>196</v>
      </c>
    </row>
    <row r="23" spans="1:10" x14ac:dyDescent="0.25">
      <c r="A23" s="81"/>
      <c r="B23" s="82">
        <v>12</v>
      </c>
      <c r="C23" s="82" t="s">
        <v>115</v>
      </c>
      <c r="D23" s="83" t="s">
        <v>187</v>
      </c>
      <c r="E23" s="84"/>
      <c r="F23" s="85" t="s">
        <v>160</v>
      </c>
      <c r="G23" s="86"/>
      <c r="H23" s="85"/>
      <c r="I23" s="87" t="s">
        <v>200</v>
      </c>
      <c r="J23" s="83" t="s">
        <v>197</v>
      </c>
    </row>
    <row r="24" spans="1:10" x14ac:dyDescent="0.25">
      <c r="A24" s="81"/>
      <c r="B24" s="82">
        <v>20</v>
      </c>
      <c r="C24" s="82" t="s">
        <v>117</v>
      </c>
      <c r="D24" s="87" t="s">
        <v>187</v>
      </c>
      <c r="E24" s="84"/>
      <c r="F24" s="86" t="s">
        <v>160</v>
      </c>
      <c r="G24" s="86"/>
      <c r="H24" s="86"/>
      <c r="I24" s="87" t="s">
        <v>200</v>
      </c>
      <c r="J24" s="87" t="s">
        <v>198</v>
      </c>
    </row>
    <row r="25" spans="1:10" x14ac:dyDescent="0.25">
      <c r="A25" s="81"/>
      <c r="B25" s="82">
        <v>50</v>
      </c>
      <c r="C25" s="82" t="s">
        <v>116</v>
      </c>
      <c r="D25" s="83" t="s">
        <v>187</v>
      </c>
      <c r="E25" s="84"/>
      <c r="F25" s="85" t="s">
        <v>160</v>
      </c>
      <c r="G25" s="86"/>
      <c r="H25" s="85"/>
      <c r="I25" s="87" t="s">
        <v>200</v>
      </c>
      <c r="J25" s="83" t="s">
        <v>199</v>
      </c>
    </row>
    <row r="26" spans="1:10" x14ac:dyDescent="0.25">
      <c r="A26" s="81" t="s">
        <v>89</v>
      </c>
      <c r="B26" s="82">
        <v>2</v>
      </c>
      <c r="C26" s="82" t="s">
        <v>108</v>
      </c>
      <c r="D26" s="87" t="s">
        <v>156</v>
      </c>
      <c r="E26" s="84">
        <v>1</v>
      </c>
      <c r="F26" s="86" t="s">
        <v>201</v>
      </c>
      <c r="G26" s="86"/>
      <c r="H26" s="86" t="s">
        <v>163</v>
      </c>
      <c r="I26" s="87" t="s">
        <v>161</v>
      </c>
      <c r="J26" s="87" t="s">
        <v>202</v>
      </c>
    </row>
    <row r="27" spans="1:10" x14ac:dyDescent="0.25">
      <c r="A27" s="81"/>
      <c r="B27" s="82">
        <v>4</v>
      </c>
      <c r="C27" s="82" t="s">
        <v>6</v>
      </c>
      <c r="D27" s="83" t="s">
        <v>156</v>
      </c>
      <c r="E27" s="84">
        <v>1</v>
      </c>
      <c r="F27" s="85" t="s">
        <v>201</v>
      </c>
      <c r="G27" s="86"/>
      <c r="H27" s="85" t="s">
        <v>161</v>
      </c>
      <c r="I27" s="87" t="s">
        <v>161</v>
      </c>
      <c r="J27" s="83" t="s">
        <v>203</v>
      </c>
    </row>
    <row r="28" spans="1:10" x14ac:dyDescent="0.25">
      <c r="A28" s="81"/>
      <c r="B28" s="82">
        <v>6</v>
      </c>
      <c r="C28" s="82" t="s">
        <v>5</v>
      </c>
      <c r="D28" s="87" t="s">
        <v>156</v>
      </c>
      <c r="E28" s="84">
        <v>1</v>
      </c>
      <c r="F28" s="86" t="s">
        <v>201</v>
      </c>
      <c r="G28" s="86"/>
      <c r="H28" s="86" t="s">
        <v>161</v>
      </c>
      <c r="I28" s="87" t="s">
        <v>161</v>
      </c>
      <c r="J28" s="87" t="s">
        <v>204</v>
      </c>
    </row>
    <row r="29" spans="1:10" x14ac:dyDescent="0.25">
      <c r="A29" s="81"/>
      <c r="B29" s="82">
        <v>8</v>
      </c>
      <c r="C29" s="82" t="s">
        <v>110</v>
      </c>
      <c r="D29" s="83" t="s">
        <v>156</v>
      </c>
      <c r="E29" s="84">
        <v>1</v>
      </c>
      <c r="F29" s="85" t="s">
        <v>201</v>
      </c>
      <c r="G29" s="86"/>
      <c r="H29" s="85" t="s">
        <v>163</v>
      </c>
      <c r="I29" s="87" t="s">
        <v>161</v>
      </c>
      <c r="J29" s="83" t="s">
        <v>206</v>
      </c>
    </row>
    <row r="30" spans="1:10" x14ac:dyDescent="0.25">
      <c r="A30" s="81"/>
      <c r="B30" s="82">
        <v>10</v>
      </c>
      <c r="C30" s="82" t="s">
        <v>113</v>
      </c>
      <c r="D30" s="87" t="s">
        <v>156</v>
      </c>
      <c r="E30" s="84" t="s">
        <v>153</v>
      </c>
      <c r="F30" s="86" t="s">
        <v>201</v>
      </c>
      <c r="G30" s="86" t="s">
        <v>205</v>
      </c>
      <c r="H30" s="86" t="s">
        <v>161</v>
      </c>
      <c r="I30" s="87" t="s">
        <v>161</v>
      </c>
      <c r="J30" s="87" t="s">
        <v>202</v>
      </c>
    </row>
    <row r="31" spans="1:10" x14ac:dyDescent="0.25">
      <c r="A31" s="81"/>
      <c r="B31" s="82">
        <v>15</v>
      </c>
      <c r="C31" s="82" t="s">
        <v>114</v>
      </c>
      <c r="D31" s="83" t="s">
        <v>156</v>
      </c>
      <c r="E31" s="84" t="s">
        <v>153</v>
      </c>
      <c r="F31" s="85" t="s">
        <v>201</v>
      </c>
      <c r="G31" s="86" t="s">
        <v>205</v>
      </c>
      <c r="H31" s="85" t="s">
        <v>161</v>
      </c>
      <c r="I31" s="87" t="s">
        <v>161</v>
      </c>
      <c r="J31" s="83" t="s">
        <v>203</v>
      </c>
    </row>
    <row r="32" spans="1:10" x14ac:dyDescent="0.25">
      <c r="A32" s="81"/>
      <c r="B32" s="82">
        <v>30</v>
      </c>
      <c r="C32" s="82" t="s">
        <v>118</v>
      </c>
      <c r="D32" s="87" t="s">
        <v>156</v>
      </c>
      <c r="E32" s="84" t="s">
        <v>153</v>
      </c>
      <c r="F32" s="86" t="s">
        <v>201</v>
      </c>
      <c r="G32" s="86" t="s">
        <v>205</v>
      </c>
      <c r="H32" s="86" t="s">
        <v>163</v>
      </c>
      <c r="I32" s="87" t="s">
        <v>161</v>
      </c>
      <c r="J32" s="87" t="s">
        <v>207</v>
      </c>
    </row>
    <row r="33" spans="1:10" s="17" customFormat="1" x14ac:dyDescent="0.25">
      <c r="A33" s="88"/>
      <c r="B33" s="89"/>
      <c r="C33" s="90"/>
      <c r="D33" s="89"/>
      <c r="E33" s="90"/>
      <c r="F33" s="89"/>
      <c r="G33" s="90"/>
      <c r="H33" s="89"/>
      <c r="I33" s="90"/>
      <c r="J33" s="89"/>
    </row>
    <row r="34" spans="1:10" x14ac:dyDescent="0.25">
      <c r="A34" s="81" t="s">
        <v>146</v>
      </c>
      <c r="B34" s="82">
        <v>1</v>
      </c>
      <c r="C34" s="82" t="s">
        <v>119</v>
      </c>
      <c r="D34" s="87" t="s">
        <v>156</v>
      </c>
      <c r="E34" s="84">
        <v>1</v>
      </c>
      <c r="F34" s="86" t="s">
        <v>183</v>
      </c>
      <c r="G34" s="86"/>
      <c r="H34" s="86"/>
      <c r="I34" s="87" t="s">
        <v>174</v>
      </c>
      <c r="J34" s="87" t="s">
        <v>213</v>
      </c>
    </row>
    <row r="35" spans="1:10" x14ac:dyDescent="0.25">
      <c r="A35" s="81"/>
      <c r="B35" s="82">
        <v>3</v>
      </c>
      <c r="C35" s="82" t="s">
        <v>123</v>
      </c>
      <c r="D35" s="83" t="s">
        <v>156</v>
      </c>
      <c r="E35" s="84" t="s">
        <v>153</v>
      </c>
      <c r="F35" s="85" t="s">
        <v>208</v>
      </c>
      <c r="G35" s="86" t="s">
        <v>211</v>
      </c>
      <c r="H35" s="85" t="s">
        <v>209</v>
      </c>
      <c r="I35" s="87" t="s">
        <v>174</v>
      </c>
      <c r="J35" s="83" t="s">
        <v>210</v>
      </c>
    </row>
    <row r="36" spans="1:10" x14ac:dyDescent="0.25">
      <c r="A36" s="81"/>
      <c r="B36" s="82">
        <v>5</v>
      </c>
      <c r="C36" s="82" t="s">
        <v>122</v>
      </c>
      <c r="D36" s="87" t="s">
        <v>156</v>
      </c>
      <c r="E36" s="84">
        <v>1</v>
      </c>
      <c r="F36" s="86" t="s">
        <v>183</v>
      </c>
      <c r="G36" s="86"/>
      <c r="H36" s="86"/>
      <c r="I36" s="87" t="s">
        <v>174</v>
      </c>
      <c r="J36" s="87" t="s">
        <v>212</v>
      </c>
    </row>
    <row r="37" spans="1:10" x14ac:dyDescent="0.25">
      <c r="A37" s="81"/>
      <c r="B37" s="82">
        <v>7</v>
      </c>
      <c r="C37" s="82" t="s">
        <v>90</v>
      </c>
      <c r="D37" s="83" t="s">
        <v>156</v>
      </c>
      <c r="E37" s="84">
        <v>1</v>
      </c>
      <c r="F37" s="85" t="s">
        <v>160</v>
      </c>
      <c r="G37" s="86"/>
      <c r="H37" s="85" t="s">
        <v>209</v>
      </c>
      <c r="I37" s="87" t="s">
        <v>174</v>
      </c>
      <c r="J37" s="83" t="s">
        <v>214</v>
      </c>
    </row>
    <row r="38" spans="1:10" x14ac:dyDescent="0.25">
      <c r="A38" s="81"/>
      <c r="B38" s="82">
        <v>9</v>
      </c>
      <c r="C38" s="82" t="s">
        <v>121</v>
      </c>
      <c r="D38" s="87" t="s">
        <v>156</v>
      </c>
      <c r="E38" s="84">
        <v>1</v>
      </c>
      <c r="F38" s="86" t="s">
        <v>183</v>
      </c>
      <c r="G38" s="86"/>
      <c r="H38" s="86"/>
      <c r="I38" s="87" t="s">
        <v>174</v>
      </c>
      <c r="J38" s="87" t="s">
        <v>215</v>
      </c>
    </row>
    <row r="39" spans="1:10" x14ac:dyDescent="0.25">
      <c r="A39" s="81"/>
      <c r="B39" s="82">
        <v>12</v>
      </c>
      <c r="C39" s="82" t="s">
        <v>129</v>
      </c>
      <c r="D39" s="83" t="s">
        <v>156</v>
      </c>
      <c r="E39" s="84" t="s">
        <v>153</v>
      </c>
      <c r="F39" s="85" t="s">
        <v>208</v>
      </c>
      <c r="G39" s="86" t="s">
        <v>211</v>
      </c>
      <c r="H39" s="85"/>
      <c r="I39" s="87" t="s">
        <v>184</v>
      </c>
      <c r="J39" s="83" t="s">
        <v>216</v>
      </c>
    </row>
    <row r="40" spans="1:10" x14ac:dyDescent="0.25">
      <c r="A40" s="81"/>
      <c r="B40" s="82">
        <v>20</v>
      </c>
      <c r="C40" s="82" t="s">
        <v>128</v>
      </c>
      <c r="D40" s="87" t="s">
        <v>156</v>
      </c>
      <c r="E40" s="84">
        <v>1</v>
      </c>
      <c r="F40" s="86" t="s">
        <v>183</v>
      </c>
      <c r="G40" s="86"/>
      <c r="H40" s="86"/>
      <c r="I40" s="87" t="s">
        <v>174</v>
      </c>
      <c r="J40" s="87" t="s">
        <v>217</v>
      </c>
    </row>
    <row r="41" spans="1:10" x14ac:dyDescent="0.25">
      <c r="A41" s="81"/>
      <c r="B41" s="82">
        <v>50</v>
      </c>
      <c r="C41" s="82" t="s">
        <v>131</v>
      </c>
      <c r="D41" s="83" t="s">
        <v>156</v>
      </c>
      <c r="E41" s="84">
        <v>1</v>
      </c>
      <c r="F41" s="85" t="s">
        <v>183</v>
      </c>
      <c r="G41" s="86"/>
      <c r="H41" s="85"/>
      <c r="I41" s="87" t="s">
        <v>174</v>
      </c>
      <c r="J41" s="83" t="s">
        <v>218</v>
      </c>
    </row>
    <row r="42" spans="1:10" x14ac:dyDescent="0.25">
      <c r="A42" s="81" t="s">
        <v>83</v>
      </c>
      <c r="B42" s="82">
        <v>2</v>
      </c>
      <c r="C42" s="82" t="s">
        <v>125</v>
      </c>
      <c r="D42" s="87" t="s">
        <v>156</v>
      </c>
      <c r="E42" s="84">
        <v>1</v>
      </c>
      <c r="F42" s="86" t="s">
        <v>219</v>
      </c>
      <c r="G42" s="86"/>
      <c r="H42" s="86" t="s">
        <v>220</v>
      </c>
      <c r="I42" s="87" t="s">
        <v>209</v>
      </c>
      <c r="J42" s="87" t="s">
        <v>225</v>
      </c>
    </row>
    <row r="43" spans="1:10" x14ac:dyDescent="0.25">
      <c r="A43" s="81"/>
      <c r="B43" s="82">
        <v>4</v>
      </c>
      <c r="C43" s="82" t="s">
        <v>124</v>
      </c>
      <c r="D43" s="83" t="s">
        <v>156</v>
      </c>
      <c r="E43" s="84" t="s">
        <v>153</v>
      </c>
      <c r="F43" s="85" t="s">
        <v>219</v>
      </c>
      <c r="G43" s="86" t="s">
        <v>211</v>
      </c>
      <c r="H43" s="85"/>
      <c r="I43" s="87" t="s">
        <v>209</v>
      </c>
      <c r="J43" s="83" t="s">
        <v>226</v>
      </c>
    </row>
    <row r="44" spans="1:10" x14ac:dyDescent="0.25">
      <c r="A44" s="81"/>
      <c r="B44" s="82">
        <v>6</v>
      </c>
      <c r="C44" s="82" t="s">
        <v>120</v>
      </c>
      <c r="D44" s="87" t="s">
        <v>156</v>
      </c>
      <c r="E44" s="84">
        <v>1</v>
      </c>
      <c r="F44" s="86" t="s">
        <v>219</v>
      </c>
      <c r="G44" s="86"/>
      <c r="H44" s="86" t="s">
        <v>223</v>
      </c>
      <c r="I44" s="87" t="s">
        <v>209</v>
      </c>
      <c r="J44" s="87" t="s">
        <v>227</v>
      </c>
    </row>
    <row r="45" spans="1:10" x14ac:dyDescent="0.25">
      <c r="A45" s="81"/>
      <c r="B45" s="82">
        <v>8</v>
      </c>
      <c r="C45" s="82" t="s">
        <v>130</v>
      </c>
      <c r="D45" s="83" t="s">
        <v>156</v>
      </c>
      <c r="E45" s="84" t="s">
        <v>153</v>
      </c>
      <c r="F45" s="85" t="s">
        <v>219</v>
      </c>
      <c r="G45" s="86" t="s">
        <v>211</v>
      </c>
      <c r="H45" s="85"/>
      <c r="I45" s="87" t="s">
        <v>174</v>
      </c>
      <c r="J45" s="83" t="s">
        <v>228</v>
      </c>
    </row>
    <row r="46" spans="1:10" x14ac:dyDescent="0.25">
      <c r="A46" s="81"/>
      <c r="B46" s="82">
        <v>10</v>
      </c>
      <c r="C46" s="82" t="s">
        <v>126</v>
      </c>
      <c r="D46" s="87" t="s">
        <v>156</v>
      </c>
      <c r="E46" s="84">
        <v>1</v>
      </c>
      <c r="F46" s="86" t="s">
        <v>219</v>
      </c>
      <c r="G46" s="86"/>
      <c r="H46" s="86" t="s">
        <v>224</v>
      </c>
      <c r="I46" s="87" t="s">
        <v>174</v>
      </c>
      <c r="J46" s="87" t="s">
        <v>229</v>
      </c>
    </row>
    <row r="47" spans="1:10" x14ac:dyDescent="0.25">
      <c r="A47" s="81"/>
      <c r="B47" s="82">
        <v>15</v>
      </c>
      <c r="C47" s="82" t="s">
        <v>91</v>
      </c>
      <c r="D47" s="83" t="s">
        <v>156</v>
      </c>
      <c r="E47" s="84" t="s">
        <v>153</v>
      </c>
      <c r="F47" s="85" t="s">
        <v>219</v>
      </c>
      <c r="G47" s="86" t="s">
        <v>211</v>
      </c>
      <c r="H47" s="85"/>
      <c r="I47" s="87" t="s">
        <v>222</v>
      </c>
      <c r="J47" s="83" t="s">
        <v>230</v>
      </c>
    </row>
    <row r="48" spans="1:10" x14ac:dyDescent="0.25">
      <c r="A48" s="81"/>
      <c r="B48" s="82">
        <v>30</v>
      </c>
      <c r="C48" s="82" t="s">
        <v>127</v>
      </c>
      <c r="D48" s="87" t="s">
        <v>156</v>
      </c>
      <c r="E48" s="84">
        <v>1</v>
      </c>
      <c r="F48" s="86" t="s">
        <v>219</v>
      </c>
      <c r="G48" s="86"/>
      <c r="H48" s="86" t="s">
        <v>221</v>
      </c>
      <c r="I48" s="87" t="s">
        <v>222</v>
      </c>
      <c r="J48" s="87" t="s">
        <v>231</v>
      </c>
    </row>
    <row r="49" spans="1:10" s="17" customFormat="1" x14ac:dyDescent="0.25">
      <c r="A49" s="88"/>
      <c r="B49" s="83"/>
      <c r="C49" s="91"/>
      <c r="D49" s="83"/>
      <c r="E49" s="87"/>
      <c r="F49" s="83"/>
      <c r="G49" s="87"/>
      <c r="H49" s="83"/>
      <c r="I49" s="87"/>
      <c r="J49" s="83"/>
    </row>
    <row r="50" spans="1:10" x14ac:dyDescent="0.25">
      <c r="A50" s="81" t="s">
        <v>147</v>
      </c>
      <c r="B50" s="82">
        <v>1</v>
      </c>
      <c r="C50" s="82" t="s">
        <v>133</v>
      </c>
      <c r="D50" s="87" t="s">
        <v>156</v>
      </c>
      <c r="E50" s="84" t="s">
        <v>153</v>
      </c>
      <c r="F50" s="86" t="s">
        <v>187</v>
      </c>
      <c r="G50" s="86" t="s">
        <v>209</v>
      </c>
      <c r="H50" s="86" t="s">
        <v>161</v>
      </c>
      <c r="I50" s="87" t="s">
        <v>221</v>
      </c>
      <c r="J50" s="87" t="s">
        <v>232</v>
      </c>
    </row>
    <row r="51" spans="1:10" x14ac:dyDescent="0.25">
      <c r="A51" s="81"/>
      <c r="B51" s="82">
        <v>4</v>
      </c>
      <c r="C51" s="82" t="s">
        <v>134</v>
      </c>
      <c r="D51" s="83" t="s">
        <v>156</v>
      </c>
      <c r="E51" s="84"/>
      <c r="F51" s="85" t="s">
        <v>183</v>
      </c>
      <c r="G51" s="86"/>
      <c r="H51" s="85" t="s">
        <v>237</v>
      </c>
      <c r="I51" s="87" t="s">
        <v>174</v>
      </c>
      <c r="J51" s="83" t="s">
        <v>233</v>
      </c>
    </row>
    <row r="52" spans="1:10" x14ac:dyDescent="0.25">
      <c r="A52" s="81"/>
      <c r="B52" s="82">
        <v>7</v>
      </c>
      <c r="C52" s="82" t="s">
        <v>129</v>
      </c>
      <c r="D52" s="87" t="s">
        <v>156</v>
      </c>
      <c r="E52" s="84"/>
      <c r="F52" s="86" t="s">
        <v>183</v>
      </c>
      <c r="G52" s="86"/>
      <c r="H52" s="86"/>
      <c r="I52" s="87" t="s">
        <v>234</v>
      </c>
      <c r="J52" s="87" t="s">
        <v>216</v>
      </c>
    </row>
    <row r="53" spans="1:10" x14ac:dyDescent="0.25">
      <c r="A53" s="81"/>
      <c r="B53" s="82">
        <v>10</v>
      </c>
      <c r="C53" s="82" t="s">
        <v>135</v>
      </c>
      <c r="D53" s="83" t="s">
        <v>156</v>
      </c>
      <c r="E53" s="84"/>
      <c r="F53" s="85" t="s">
        <v>183</v>
      </c>
      <c r="G53" s="86"/>
      <c r="H53" s="85"/>
      <c r="I53" s="87" t="s">
        <v>174</v>
      </c>
      <c r="J53" s="83" t="s">
        <v>235</v>
      </c>
    </row>
    <row r="54" spans="1:10" x14ac:dyDescent="0.25">
      <c r="A54" s="81"/>
      <c r="B54" s="82">
        <v>20</v>
      </c>
      <c r="C54" s="82" t="s">
        <v>136</v>
      </c>
      <c r="D54" s="87" t="s">
        <v>156</v>
      </c>
      <c r="E54" s="84"/>
      <c r="F54" s="86" t="s">
        <v>183</v>
      </c>
      <c r="G54" s="86"/>
      <c r="H54" s="86"/>
      <c r="I54" s="87" t="s">
        <v>174</v>
      </c>
      <c r="J54" s="87" t="s">
        <v>236</v>
      </c>
    </row>
    <row r="55" spans="1:10" s="17" customFormat="1" x14ac:dyDescent="0.25">
      <c r="A55" s="88"/>
      <c r="B55" s="83"/>
      <c r="C55" s="91"/>
      <c r="D55" s="83"/>
      <c r="E55" s="87"/>
      <c r="F55" s="83"/>
      <c r="G55" s="87"/>
      <c r="H55" s="83"/>
      <c r="I55" s="87"/>
      <c r="J55" s="83"/>
    </row>
    <row r="56" spans="1:10" x14ac:dyDescent="0.25">
      <c r="A56" s="81" t="s">
        <v>148</v>
      </c>
      <c r="B56" s="82">
        <v>1</v>
      </c>
      <c r="C56" s="82" t="s">
        <v>132</v>
      </c>
      <c r="D56" s="87" t="s">
        <v>187</v>
      </c>
      <c r="E56" s="84"/>
      <c r="F56" s="86"/>
      <c r="G56" s="86" t="s">
        <v>237</v>
      </c>
      <c r="H56" s="86" t="s">
        <v>221</v>
      </c>
      <c r="I56" s="87" t="s">
        <v>237</v>
      </c>
      <c r="J56" s="87" t="s">
        <v>238</v>
      </c>
    </row>
    <row r="57" spans="1:10" x14ac:dyDescent="0.25">
      <c r="A57" s="81"/>
      <c r="B57" s="82">
        <v>4</v>
      </c>
      <c r="C57" s="82" t="s">
        <v>137</v>
      </c>
      <c r="D57" s="83" t="s">
        <v>187</v>
      </c>
      <c r="E57" s="84"/>
      <c r="F57" s="85"/>
      <c r="G57" s="86"/>
      <c r="H57" s="85" t="s">
        <v>221</v>
      </c>
      <c r="I57" s="87" t="s">
        <v>174</v>
      </c>
      <c r="J57" s="83" t="s">
        <v>239</v>
      </c>
    </row>
    <row r="58" spans="1:10" x14ac:dyDescent="0.25">
      <c r="A58" s="81"/>
      <c r="B58" s="82">
        <v>7</v>
      </c>
      <c r="C58" s="82" t="s">
        <v>138</v>
      </c>
      <c r="D58" s="87" t="s">
        <v>187</v>
      </c>
      <c r="E58" s="84"/>
      <c r="F58" s="86"/>
      <c r="G58" s="86"/>
      <c r="H58" s="86" t="s">
        <v>221</v>
      </c>
      <c r="I58" s="87" t="s">
        <v>237</v>
      </c>
      <c r="J58" s="87" t="s">
        <v>240</v>
      </c>
    </row>
    <row r="59" spans="1:10" x14ac:dyDescent="0.25">
      <c r="A59" s="81"/>
      <c r="B59" s="82">
        <v>10</v>
      </c>
      <c r="C59" s="82" t="s">
        <v>139</v>
      </c>
      <c r="D59" s="83" t="s">
        <v>187</v>
      </c>
      <c r="E59" s="84"/>
      <c r="F59" s="85"/>
      <c r="G59" s="86"/>
      <c r="H59" s="85" t="s">
        <v>241</v>
      </c>
      <c r="I59" s="87" t="s">
        <v>174</v>
      </c>
      <c r="J59" s="83" t="s">
        <v>242</v>
      </c>
    </row>
    <row r="60" spans="1:10" x14ac:dyDescent="0.25">
      <c r="A60" s="81"/>
      <c r="B60" s="82">
        <v>20</v>
      </c>
      <c r="C60" s="82" t="s">
        <v>140</v>
      </c>
      <c r="D60" s="87" t="s">
        <v>187</v>
      </c>
      <c r="E60" s="84"/>
      <c r="F60" s="86"/>
      <c r="G60" s="86" t="s">
        <v>245</v>
      </c>
      <c r="H60" s="86"/>
      <c r="I60" s="87" t="s">
        <v>243</v>
      </c>
      <c r="J60" s="87" t="s">
        <v>244</v>
      </c>
    </row>
    <row r="61" spans="1:10" s="17" customFormat="1" x14ac:dyDescent="0.25">
      <c r="A61" s="88"/>
      <c r="B61" s="83"/>
      <c r="C61" s="91"/>
      <c r="D61" s="83"/>
      <c r="E61" s="87"/>
      <c r="F61" s="83"/>
      <c r="G61" s="87"/>
      <c r="H61" s="83"/>
      <c r="I61" s="87"/>
      <c r="J61" s="83"/>
    </row>
    <row r="62" spans="1:10" x14ac:dyDescent="0.25">
      <c r="A62" s="81" t="s">
        <v>246</v>
      </c>
      <c r="B62" s="82">
        <v>1</v>
      </c>
      <c r="C62" s="82" t="s">
        <v>92</v>
      </c>
      <c r="D62" s="87" t="s">
        <v>187</v>
      </c>
      <c r="E62" s="84" t="s">
        <v>153</v>
      </c>
      <c r="F62" s="86"/>
      <c r="G62" s="86" t="s">
        <v>237</v>
      </c>
      <c r="H62" s="86" t="s">
        <v>247</v>
      </c>
      <c r="I62" s="87" t="s">
        <v>574</v>
      </c>
      <c r="J62" s="87" t="s">
        <v>248</v>
      </c>
    </row>
    <row r="63" spans="1:10" x14ac:dyDescent="0.25">
      <c r="A63" s="81"/>
      <c r="B63" s="82">
        <v>3</v>
      </c>
      <c r="C63" s="82" t="s">
        <v>93</v>
      </c>
      <c r="D63" s="83" t="s">
        <v>187</v>
      </c>
      <c r="E63" s="84" t="s">
        <v>153</v>
      </c>
      <c r="F63" s="85"/>
      <c r="G63" s="86" t="s">
        <v>237</v>
      </c>
      <c r="H63" s="85" t="s">
        <v>247</v>
      </c>
      <c r="I63" s="87" t="s">
        <v>574</v>
      </c>
      <c r="J63" s="83" t="s">
        <v>249</v>
      </c>
    </row>
    <row r="64" spans="1:10" x14ac:dyDescent="0.25">
      <c r="A64" s="81"/>
      <c r="B64" s="82">
        <v>5</v>
      </c>
      <c r="C64" s="82" t="s">
        <v>142</v>
      </c>
      <c r="D64" s="87" t="s">
        <v>187</v>
      </c>
      <c r="E64" s="84" t="s">
        <v>153</v>
      </c>
      <c r="F64" s="86"/>
      <c r="G64" s="86" t="s">
        <v>237</v>
      </c>
      <c r="H64" s="86" t="s">
        <v>247</v>
      </c>
      <c r="I64" s="87" t="s">
        <v>253</v>
      </c>
      <c r="J64" s="87" t="s">
        <v>250</v>
      </c>
    </row>
    <row r="65" spans="1:10" x14ac:dyDescent="0.25">
      <c r="A65" s="81"/>
      <c r="B65" s="82">
        <v>7</v>
      </c>
      <c r="C65" s="82" t="s">
        <v>143</v>
      </c>
      <c r="D65" s="83" t="s">
        <v>187</v>
      </c>
      <c r="E65" s="84" t="s">
        <v>153</v>
      </c>
      <c r="F65" s="85"/>
      <c r="G65" s="86" t="s">
        <v>237</v>
      </c>
      <c r="H65" s="85"/>
      <c r="I65" s="87" t="s">
        <v>253</v>
      </c>
      <c r="J65" s="83" t="s">
        <v>251</v>
      </c>
    </row>
    <row r="66" spans="1:10" x14ac:dyDescent="0.25">
      <c r="A66" s="81"/>
      <c r="B66" s="82">
        <v>9</v>
      </c>
      <c r="C66" s="82" t="s">
        <v>144</v>
      </c>
      <c r="D66" s="87" t="s">
        <v>187</v>
      </c>
      <c r="E66" s="84" t="s">
        <v>153</v>
      </c>
      <c r="F66" s="86"/>
      <c r="G66" s="86" t="s">
        <v>237</v>
      </c>
      <c r="H66" s="86"/>
      <c r="I66" s="87" t="s">
        <v>253</v>
      </c>
      <c r="J66" s="87" t="s">
        <v>252</v>
      </c>
    </row>
    <row r="67" spans="1:10" x14ac:dyDescent="0.25">
      <c r="A67" s="81"/>
      <c r="B67" s="82">
        <v>12</v>
      </c>
      <c r="C67" s="82" t="s">
        <v>145</v>
      </c>
      <c r="D67" s="83" t="s">
        <v>187</v>
      </c>
      <c r="E67" s="84" t="s">
        <v>153</v>
      </c>
      <c r="F67" s="85"/>
      <c r="G67" s="86" t="s">
        <v>237</v>
      </c>
      <c r="H67" s="85"/>
      <c r="I67" s="87" t="s">
        <v>253</v>
      </c>
      <c r="J67" s="83" t="s">
        <v>254</v>
      </c>
    </row>
    <row r="68" spans="1:10" x14ac:dyDescent="0.25">
      <c r="A68" s="81"/>
      <c r="B68" s="82">
        <v>30</v>
      </c>
      <c r="C68" s="82" t="s">
        <v>90</v>
      </c>
      <c r="D68" s="87" t="s">
        <v>187</v>
      </c>
      <c r="E68" s="84" t="s">
        <v>153</v>
      </c>
      <c r="F68" s="86"/>
      <c r="G68" s="86" t="s">
        <v>237</v>
      </c>
      <c r="H68" s="86" t="s">
        <v>247</v>
      </c>
      <c r="I68" s="87" t="s">
        <v>253</v>
      </c>
      <c r="J68" s="87" t="s">
        <v>255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zoomScaleNormal="80" zoomScaleSheetLayoutView="100" workbookViewId="0">
      <selection activeCell="F8" sqref="F8"/>
    </sheetView>
  </sheetViews>
  <sheetFormatPr defaultRowHeight="13.8" x14ac:dyDescent="0.2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25">
      <c r="A1" s="5" t="s">
        <v>303</v>
      </c>
      <c r="I1" s="5" t="s">
        <v>283</v>
      </c>
    </row>
    <row r="2" spans="1:12" ht="14.4" thickBot="1" x14ac:dyDescent="0.3">
      <c r="A2" s="108" t="s">
        <v>356</v>
      </c>
      <c r="B2" s="109" t="s">
        <v>39</v>
      </c>
      <c r="C2" s="109" t="s">
        <v>276</v>
      </c>
      <c r="D2" s="109" t="s">
        <v>277</v>
      </c>
      <c r="E2" s="109" t="s">
        <v>278</v>
      </c>
      <c r="F2" s="109" t="s">
        <v>44</v>
      </c>
      <c r="G2" s="109" t="s">
        <v>45</v>
      </c>
      <c r="I2" s="101" t="s">
        <v>284</v>
      </c>
      <c r="J2" s="102" t="s">
        <v>287</v>
      </c>
      <c r="L2" s="1"/>
    </row>
    <row r="3" spans="1:12" ht="14.4" thickTop="1" x14ac:dyDescent="0.25">
      <c r="A3" s="110" t="s">
        <v>268</v>
      </c>
      <c r="B3" s="111">
        <v>10</v>
      </c>
      <c r="C3" s="111">
        <v>5</v>
      </c>
      <c r="D3" s="111">
        <v>0</v>
      </c>
      <c r="E3" s="111">
        <v>0</v>
      </c>
      <c r="F3" s="111">
        <v>-10</v>
      </c>
      <c r="G3" s="111">
        <v>-20</v>
      </c>
      <c r="I3" s="103" t="s">
        <v>164</v>
      </c>
      <c r="J3" s="104" t="s">
        <v>299</v>
      </c>
      <c r="L3" s="1"/>
    </row>
    <row r="4" spans="1:12" x14ac:dyDescent="0.25">
      <c r="A4" s="112" t="s">
        <v>269</v>
      </c>
      <c r="B4" s="93">
        <v>4</v>
      </c>
      <c r="C4" s="93">
        <v>10</v>
      </c>
      <c r="D4" s="93">
        <v>10</v>
      </c>
      <c r="E4" s="93">
        <v>0</v>
      </c>
      <c r="F4" s="93">
        <v>0</v>
      </c>
      <c r="G4" s="93">
        <v>-10</v>
      </c>
      <c r="I4" s="105" t="s">
        <v>286</v>
      </c>
      <c r="J4" s="94" t="s">
        <v>358</v>
      </c>
      <c r="L4" s="1"/>
    </row>
    <row r="5" spans="1:12" x14ac:dyDescent="0.25">
      <c r="A5" s="112" t="s">
        <v>270</v>
      </c>
      <c r="B5" s="113">
        <v>0</v>
      </c>
      <c r="C5" s="113">
        <v>0</v>
      </c>
      <c r="D5" s="113">
        <v>0</v>
      </c>
      <c r="E5" s="113">
        <v>0</v>
      </c>
      <c r="F5" s="113">
        <v>-5</v>
      </c>
      <c r="G5" s="113">
        <v>5</v>
      </c>
      <c r="I5" s="106" t="s">
        <v>164</v>
      </c>
      <c r="J5" s="107" t="s">
        <v>299</v>
      </c>
      <c r="L5" s="1"/>
    </row>
    <row r="6" spans="1:12" x14ac:dyDescent="0.25">
      <c r="A6" s="112" t="s">
        <v>271</v>
      </c>
      <c r="B6" s="93">
        <v>0</v>
      </c>
      <c r="C6" s="93">
        <v>0</v>
      </c>
      <c r="D6" s="93">
        <v>0</v>
      </c>
      <c r="E6" s="93">
        <v>0</v>
      </c>
      <c r="F6" s="93">
        <v>0</v>
      </c>
      <c r="G6" s="93">
        <v>10</v>
      </c>
      <c r="I6" s="105" t="s">
        <v>286</v>
      </c>
      <c r="J6" s="94" t="s">
        <v>358</v>
      </c>
      <c r="L6" s="1"/>
    </row>
    <row r="7" spans="1:12" x14ac:dyDescent="0.25">
      <c r="A7" s="112" t="s">
        <v>273</v>
      </c>
      <c r="B7" s="113">
        <v>5</v>
      </c>
      <c r="C7" s="113">
        <v>0</v>
      </c>
      <c r="D7" s="113">
        <v>0</v>
      </c>
      <c r="E7" s="113">
        <v>0</v>
      </c>
      <c r="F7" s="113">
        <v>0</v>
      </c>
      <c r="G7" s="113">
        <v>-20</v>
      </c>
      <c r="I7" s="106" t="s">
        <v>163</v>
      </c>
      <c r="J7" s="107">
        <v>4</v>
      </c>
      <c r="L7" s="1"/>
    </row>
    <row r="8" spans="1:12" x14ac:dyDescent="0.25">
      <c r="A8" s="112" t="s">
        <v>272</v>
      </c>
      <c r="B8" s="93">
        <v>15</v>
      </c>
      <c r="C8" s="93">
        <v>10</v>
      </c>
      <c r="D8" s="93">
        <v>5</v>
      </c>
      <c r="E8" s="93">
        <v>0</v>
      </c>
      <c r="F8" s="93">
        <v>0</v>
      </c>
      <c r="G8" s="93">
        <v>-10</v>
      </c>
      <c r="I8" s="105" t="s">
        <v>165</v>
      </c>
      <c r="J8" s="94" t="s">
        <v>298</v>
      </c>
      <c r="L8" s="1"/>
    </row>
    <row r="9" spans="1:12" x14ac:dyDescent="0.25">
      <c r="A9" s="112" t="s">
        <v>274</v>
      </c>
      <c r="B9" s="113">
        <v>10</v>
      </c>
      <c r="C9" s="113">
        <v>5</v>
      </c>
      <c r="D9" s="113">
        <v>0</v>
      </c>
      <c r="E9" s="113">
        <v>0</v>
      </c>
      <c r="F9" s="113">
        <v>0</v>
      </c>
      <c r="G9" s="113">
        <v>-15</v>
      </c>
      <c r="I9" s="106" t="s">
        <v>164</v>
      </c>
      <c r="J9" s="107">
        <v>6</v>
      </c>
      <c r="L9" s="1"/>
    </row>
    <row r="10" spans="1:12" x14ac:dyDescent="0.25">
      <c r="A10" s="112" t="s">
        <v>275</v>
      </c>
      <c r="B10" s="93">
        <v>20</v>
      </c>
      <c r="C10" s="93">
        <v>15</v>
      </c>
      <c r="D10" s="93">
        <v>5</v>
      </c>
      <c r="E10" s="93">
        <v>0</v>
      </c>
      <c r="F10" s="93">
        <v>0</v>
      </c>
      <c r="G10" s="93">
        <v>-5</v>
      </c>
      <c r="I10" s="105" t="s">
        <v>161</v>
      </c>
      <c r="J10" s="94" t="s">
        <v>359</v>
      </c>
      <c r="L10" s="1"/>
    </row>
    <row r="11" spans="1:12" x14ac:dyDescent="0.25">
      <c r="A11" s="108" t="s">
        <v>497</v>
      </c>
      <c r="B11" s="155">
        <v>0</v>
      </c>
      <c r="C11" s="155">
        <v>0</v>
      </c>
      <c r="D11" s="155">
        <v>-5</v>
      </c>
      <c r="E11" s="155">
        <v>-5</v>
      </c>
      <c r="F11" s="155">
        <v>-10</v>
      </c>
      <c r="G11" s="155">
        <v>-15</v>
      </c>
      <c r="I11" s="156" t="s">
        <v>163</v>
      </c>
      <c r="J11" s="156" t="s">
        <v>39</v>
      </c>
      <c r="L11" s="1"/>
    </row>
    <row r="12" spans="1:12" x14ac:dyDescent="0.25">
      <c r="J12" s="1"/>
      <c r="K12" s="1"/>
      <c r="L12" s="1"/>
    </row>
    <row r="13" spans="1:12" x14ac:dyDescent="0.25">
      <c r="A13" s="5" t="s">
        <v>279</v>
      </c>
    </row>
    <row r="14" spans="1:12" ht="14.4" thickBot="1" x14ac:dyDescent="0.3">
      <c r="A14" s="95" t="s">
        <v>356</v>
      </c>
      <c r="B14" s="96" t="s">
        <v>39</v>
      </c>
      <c r="C14" s="96" t="s">
        <v>276</v>
      </c>
      <c r="D14" s="96" t="s">
        <v>277</v>
      </c>
      <c r="E14" s="96" t="s">
        <v>278</v>
      </c>
      <c r="F14" s="96" t="s">
        <v>44</v>
      </c>
      <c r="G14" s="96" t="s">
        <v>45</v>
      </c>
    </row>
    <row r="15" spans="1:12" ht="14.4" thickTop="1" x14ac:dyDescent="0.25">
      <c r="A15" s="97" t="s">
        <v>268</v>
      </c>
      <c r="B15" s="98" t="s">
        <v>288</v>
      </c>
      <c r="C15" s="98" t="s">
        <v>280</v>
      </c>
      <c r="D15" s="98" t="s">
        <v>290</v>
      </c>
      <c r="E15" s="98" t="s">
        <v>290</v>
      </c>
      <c r="F15" s="98" t="s">
        <v>291</v>
      </c>
      <c r="G15" s="98" t="s">
        <v>292</v>
      </c>
    </row>
    <row r="16" spans="1:12" x14ac:dyDescent="0.25">
      <c r="A16" s="99" t="s">
        <v>269</v>
      </c>
      <c r="B16" s="92" t="s">
        <v>289</v>
      </c>
      <c r="C16" s="92" t="s">
        <v>288</v>
      </c>
      <c r="D16" s="92" t="s">
        <v>280</v>
      </c>
      <c r="E16" s="92" t="s">
        <v>288</v>
      </c>
      <c r="F16" s="92" t="s">
        <v>290</v>
      </c>
      <c r="G16" s="92" t="s">
        <v>291</v>
      </c>
    </row>
    <row r="17" spans="1:10" x14ac:dyDescent="0.25">
      <c r="A17" s="99" t="s">
        <v>270</v>
      </c>
      <c r="B17" s="100" t="s">
        <v>99</v>
      </c>
      <c r="C17" s="100" t="s">
        <v>99</v>
      </c>
      <c r="D17" s="100" t="s">
        <v>99</v>
      </c>
      <c r="E17" s="100" t="s">
        <v>99</v>
      </c>
      <c r="F17" s="100" t="s">
        <v>295</v>
      </c>
      <c r="G17" s="100" t="s">
        <v>99</v>
      </c>
    </row>
    <row r="18" spans="1:10" x14ac:dyDescent="0.25">
      <c r="A18" s="99" t="s">
        <v>271</v>
      </c>
      <c r="B18" s="92" t="s">
        <v>293</v>
      </c>
      <c r="C18" s="92" t="s">
        <v>293</v>
      </c>
      <c r="D18" s="92" t="s">
        <v>294</v>
      </c>
      <c r="E18" s="92" t="s">
        <v>99</v>
      </c>
      <c r="F18" s="92" t="s">
        <v>295</v>
      </c>
      <c r="G18" s="92" t="s">
        <v>99</v>
      </c>
    </row>
    <row r="19" spans="1:10" x14ac:dyDescent="0.25">
      <c r="A19" s="99" t="s">
        <v>273</v>
      </c>
      <c r="B19" s="100" t="s">
        <v>281</v>
      </c>
      <c r="C19" s="100" t="s">
        <v>281</v>
      </c>
      <c r="D19" s="100" t="s">
        <v>281</v>
      </c>
      <c r="E19" s="100" t="s">
        <v>281</v>
      </c>
      <c r="F19" s="100" t="s">
        <v>281</v>
      </c>
      <c r="G19" s="100" t="s">
        <v>297</v>
      </c>
    </row>
    <row r="20" spans="1:10" x14ac:dyDescent="0.25">
      <c r="A20" s="99" t="s">
        <v>272</v>
      </c>
      <c r="B20" s="92" t="s">
        <v>296</v>
      </c>
      <c r="C20" s="92" t="s">
        <v>296</v>
      </c>
      <c r="D20" s="92" t="s">
        <v>281</v>
      </c>
      <c r="E20" s="92" t="s">
        <v>281</v>
      </c>
      <c r="F20" s="92" t="s">
        <v>281</v>
      </c>
      <c r="G20" s="92" t="s">
        <v>281</v>
      </c>
    </row>
    <row r="21" spans="1:10" x14ac:dyDescent="0.25">
      <c r="A21" s="99" t="s">
        <v>274</v>
      </c>
      <c r="B21" s="100" t="s">
        <v>281</v>
      </c>
      <c r="C21" s="100" t="s">
        <v>282</v>
      </c>
      <c r="D21" s="100" t="s">
        <v>281</v>
      </c>
      <c r="E21" s="100" t="s">
        <v>281</v>
      </c>
      <c r="F21" s="100" t="s">
        <v>281</v>
      </c>
      <c r="G21" s="100" t="s">
        <v>297</v>
      </c>
    </row>
    <row r="22" spans="1:10" x14ac:dyDescent="0.25">
      <c r="A22" s="99" t="s">
        <v>275</v>
      </c>
      <c r="B22" s="92" t="s">
        <v>296</v>
      </c>
      <c r="C22" s="92" t="s">
        <v>296</v>
      </c>
      <c r="D22" s="92" t="s">
        <v>281</v>
      </c>
      <c r="E22" s="92" t="s">
        <v>281</v>
      </c>
      <c r="F22" s="92" t="s">
        <v>281</v>
      </c>
      <c r="G22" s="92" t="s">
        <v>281</v>
      </c>
    </row>
    <row r="24" spans="1:10" ht="14.4" thickBot="1" x14ac:dyDescent="0.3">
      <c r="A24" s="332" t="s">
        <v>333</v>
      </c>
      <c r="B24" s="332"/>
      <c r="D24" s="114" t="s">
        <v>355</v>
      </c>
      <c r="E24" s="115" t="s">
        <v>280</v>
      </c>
      <c r="F24" s="115" t="s">
        <v>99</v>
      </c>
      <c r="G24" s="115" t="s">
        <v>281</v>
      </c>
      <c r="J24" s="1"/>
    </row>
    <row r="25" spans="1:10" ht="14.4" thickTop="1" x14ac:dyDescent="0.25">
      <c r="A25" s="16" t="s">
        <v>301</v>
      </c>
      <c r="B25" s="16" t="s">
        <v>335</v>
      </c>
      <c r="D25" s="116" t="s">
        <v>337</v>
      </c>
      <c r="E25" s="21">
        <v>0</v>
      </c>
      <c r="F25" s="21">
        <v>0</v>
      </c>
      <c r="G25" s="21">
        <v>0</v>
      </c>
      <c r="H25" s="4"/>
      <c r="J25" s="1"/>
    </row>
    <row r="26" spans="1:10" x14ac:dyDescent="0.25">
      <c r="A26" s="16" t="s">
        <v>301</v>
      </c>
      <c r="B26" s="16" t="s">
        <v>334</v>
      </c>
      <c r="D26" s="117">
        <v>-3</v>
      </c>
      <c r="E26" s="18" t="s">
        <v>316</v>
      </c>
      <c r="F26" s="18" t="s">
        <v>316</v>
      </c>
      <c r="G26" s="18" t="s">
        <v>316</v>
      </c>
      <c r="H26" s="4"/>
      <c r="J26" s="1"/>
    </row>
    <row r="27" spans="1:10" x14ac:dyDescent="0.25">
      <c r="A27" s="16" t="s">
        <v>302</v>
      </c>
      <c r="B27" s="16" t="s">
        <v>336</v>
      </c>
      <c r="D27" s="117">
        <v>-2</v>
      </c>
      <c r="E27" s="22" t="s">
        <v>317</v>
      </c>
      <c r="F27" s="22" t="s">
        <v>317</v>
      </c>
      <c r="G27" s="22" t="s">
        <v>317</v>
      </c>
      <c r="H27" s="4"/>
      <c r="J27" s="1"/>
    </row>
    <row r="28" spans="1:10" x14ac:dyDescent="0.25">
      <c r="D28" s="117">
        <v>-1</v>
      </c>
      <c r="E28" s="18" t="s">
        <v>318</v>
      </c>
      <c r="F28" s="18" t="s">
        <v>323</v>
      </c>
      <c r="G28" s="18" t="s">
        <v>319</v>
      </c>
      <c r="H28" s="4"/>
      <c r="J28" s="1"/>
    </row>
    <row r="29" spans="1:10" x14ac:dyDescent="0.25">
      <c r="D29" s="117">
        <v>0</v>
      </c>
      <c r="E29" s="22" t="s">
        <v>327</v>
      </c>
      <c r="F29" s="22" t="s">
        <v>324</v>
      </c>
      <c r="G29" s="22" t="s">
        <v>320</v>
      </c>
      <c r="H29" s="4"/>
      <c r="J29" s="1"/>
    </row>
    <row r="30" spans="1:10" x14ac:dyDescent="0.25">
      <c r="A30" s="332" t="s">
        <v>353</v>
      </c>
      <c r="B30" s="332"/>
      <c r="D30" s="117">
        <v>1</v>
      </c>
      <c r="E30" s="18" t="s">
        <v>321</v>
      </c>
      <c r="F30" s="18" t="s">
        <v>325</v>
      </c>
      <c r="G30" s="18" t="s">
        <v>328</v>
      </c>
      <c r="H30" s="4"/>
      <c r="J30" s="1"/>
    </row>
    <row r="31" spans="1:10" x14ac:dyDescent="0.25">
      <c r="A31" s="16" t="s">
        <v>301</v>
      </c>
      <c r="B31" s="16" t="s">
        <v>336</v>
      </c>
      <c r="D31" s="117">
        <v>2</v>
      </c>
      <c r="E31" s="22" t="s">
        <v>322</v>
      </c>
      <c r="F31" s="22" t="s">
        <v>326</v>
      </c>
      <c r="G31" s="22" t="s">
        <v>329</v>
      </c>
      <c r="H31" s="4"/>
      <c r="J31" s="1"/>
    </row>
    <row r="32" spans="1:10" x14ac:dyDescent="0.25">
      <c r="A32" s="16" t="s">
        <v>354</v>
      </c>
      <c r="B32" s="16" t="s">
        <v>334</v>
      </c>
      <c r="D32" s="117">
        <v>3</v>
      </c>
      <c r="E32" s="18" t="s">
        <v>339</v>
      </c>
      <c r="F32" s="18" t="s">
        <v>332</v>
      </c>
      <c r="G32" s="18" t="s">
        <v>330</v>
      </c>
      <c r="H32" s="4"/>
    </row>
    <row r="33" spans="1:12" x14ac:dyDescent="0.25">
      <c r="A33" s="16" t="s">
        <v>302</v>
      </c>
      <c r="B33" s="16" t="s">
        <v>335</v>
      </c>
      <c r="D33" s="117">
        <v>4</v>
      </c>
      <c r="E33" s="22" t="s">
        <v>331</v>
      </c>
      <c r="F33" s="22" t="s">
        <v>341</v>
      </c>
      <c r="G33" s="22" t="s">
        <v>331</v>
      </c>
      <c r="H33" s="4"/>
      <c r="J33" s="1"/>
      <c r="K33" s="1"/>
      <c r="L33" s="1"/>
    </row>
    <row r="34" spans="1:12" x14ac:dyDescent="0.25">
      <c r="D34" s="117" t="s">
        <v>338</v>
      </c>
      <c r="E34" s="18" t="s">
        <v>340</v>
      </c>
      <c r="F34" s="18" t="s">
        <v>378</v>
      </c>
      <c r="G34" s="18" t="s">
        <v>340</v>
      </c>
      <c r="H34" s="4"/>
      <c r="J34" s="1"/>
      <c r="K34" s="1"/>
      <c r="L34" s="1"/>
    </row>
    <row r="36" spans="1:12" x14ac:dyDescent="0.25">
      <c r="A36" s="5" t="s">
        <v>300</v>
      </c>
      <c r="E36" s="5" t="s">
        <v>342</v>
      </c>
    </row>
    <row r="37" spans="1:12" x14ac:dyDescent="0.25">
      <c r="A37" t="s">
        <v>301</v>
      </c>
      <c r="B37" s="16" t="s">
        <v>308</v>
      </c>
      <c r="C37" s="16"/>
      <c r="E37" t="s">
        <v>410</v>
      </c>
      <c r="F37" t="s">
        <v>285</v>
      </c>
    </row>
    <row r="38" spans="1:12" x14ac:dyDescent="0.25">
      <c r="A38" t="s">
        <v>301</v>
      </c>
      <c r="B38" s="16" t="s">
        <v>303</v>
      </c>
      <c r="C38" s="16"/>
      <c r="E38" s="3" t="s">
        <v>343</v>
      </c>
      <c r="F38" t="s">
        <v>345</v>
      </c>
    </row>
    <row r="39" spans="1:12" x14ac:dyDescent="0.25">
      <c r="A39" t="s">
        <v>301</v>
      </c>
      <c r="B39" s="16" t="s">
        <v>304</v>
      </c>
      <c r="C39" s="16"/>
      <c r="E39" t="s">
        <v>346</v>
      </c>
      <c r="F39" t="s">
        <v>347</v>
      </c>
    </row>
    <row r="40" spans="1:12" x14ac:dyDescent="0.25">
      <c r="A40" t="s">
        <v>301</v>
      </c>
      <c r="B40" s="16" t="s">
        <v>309</v>
      </c>
      <c r="C40" s="16"/>
      <c r="E40" t="s">
        <v>348</v>
      </c>
      <c r="F40" t="s">
        <v>349</v>
      </c>
    </row>
    <row r="41" spans="1:12" x14ac:dyDescent="0.25">
      <c r="A41" t="s">
        <v>301</v>
      </c>
      <c r="B41" s="16" t="s">
        <v>310</v>
      </c>
      <c r="C41" s="16"/>
      <c r="E41" t="s">
        <v>350</v>
      </c>
      <c r="F41" t="s">
        <v>351</v>
      </c>
    </row>
    <row r="42" spans="1:12" x14ac:dyDescent="0.25">
      <c r="A42" t="s">
        <v>301</v>
      </c>
      <c r="B42" s="16" t="s">
        <v>311</v>
      </c>
      <c r="C42" s="16"/>
      <c r="E42" t="s">
        <v>411</v>
      </c>
      <c r="F42" t="s">
        <v>352</v>
      </c>
    </row>
    <row r="43" spans="1:12" x14ac:dyDescent="0.25">
      <c r="A43" t="s">
        <v>301</v>
      </c>
      <c r="B43" s="16" t="s">
        <v>312</v>
      </c>
      <c r="C43" s="16"/>
    </row>
    <row r="44" spans="1:12" x14ac:dyDescent="0.25">
      <c r="A44" t="s">
        <v>301</v>
      </c>
      <c r="B44" s="16" t="s">
        <v>315</v>
      </c>
      <c r="C44" s="16"/>
    </row>
    <row r="45" spans="1:12" x14ac:dyDescent="0.25">
      <c r="A45" t="s">
        <v>302</v>
      </c>
      <c r="B45" s="16" t="s">
        <v>313</v>
      </c>
      <c r="C45" s="16"/>
    </row>
    <row r="46" spans="1:12" x14ac:dyDescent="0.25">
      <c r="A46" t="s">
        <v>302</v>
      </c>
      <c r="B46" s="16" t="s">
        <v>305</v>
      </c>
      <c r="C46" s="16"/>
    </row>
    <row r="47" spans="1:12" x14ac:dyDescent="0.25">
      <c r="A47" t="s">
        <v>302</v>
      </c>
      <c r="B47" s="16" t="s">
        <v>314</v>
      </c>
      <c r="C47" s="16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3.8" x14ac:dyDescent="0.2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25">
      <c r="A1" s="19" t="s">
        <v>360</v>
      </c>
      <c r="B1" s="19"/>
      <c r="C1" s="19"/>
      <c r="D1" s="20" t="s">
        <v>372</v>
      </c>
      <c r="E1" s="20"/>
      <c r="F1" s="20"/>
      <c r="G1" s="20"/>
    </row>
    <row r="2" spans="1:7" ht="14.4" thickBot="1" x14ac:dyDescent="0.3">
      <c r="A2" s="95" t="s">
        <v>38</v>
      </c>
      <c r="B2" s="96" t="s">
        <v>156</v>
      </c>
      <c r="C2" s="96" t="s">
        <v>361</v>
      </c>
      <c r="D2" s="96" t="s">
        <v>363</v>
      </c>
      <c r="E2" s="96" t="s">
        <v>364</v>
      </c>
      <c r="F2" s="96" t="s">
        <v>365</v>
      </c>
      <c r="G2" s="96" t="s">
        <v>362</v>
      </c>
    </row>
    <row r="3" spans="1:7" ht="14.4" thickTop="1" x14ac:dyDescent="0.25">
      <c r="A3" s="97" t="s">
        <v>39</v>
      </c>
      <c r="B3" s="98">
        <v>15</v>
      </c>
      <c r="C3" s="121">
        <v>10</v>
      </c>
      <c r="D3" s="121">
        <v>15</v>
      </c>
      <c r="E3" s="121">
        <v>15</v>
      </c>
      <c r="F3" s="121">
        <v>10</v>
      </c>
      <c r="G3" s="121">
        <v>15</v>
      </c>
    </row>
    <row r="4" spans="1:7" x14ac:dyDescent="0.25">
      <c r="A4" s="99" t="s">
        <v>276</v>
      </c>
      <c r="B4" s="92">
        <v>15</v>
      </c>
      <c r="C4" s="122">
        <v>10</v>
      </c>
      <c r="D4" s="122">
        <v>15</v>
      </c>
      <c r="E4" s="122">
        <v>10</v>
      </c>
      <c r="F4" s="122">
        <v>10</v>
      </c>
      <c r="G4" s="122">
        <v>15</v>
      </c>
    </row>
    <row r="5" spans="1:7" x14ac:dyDescent="0.25">
      <c r="A5" s="99" t="s">
        <v>42</v>
      </c>
      <c r="B5" s="100">
        <v>5</v>
      </c>
      <c r="C5" s="123">
        <v>0</v>
      </c>
      <c r="D5" s="123">
        <v>-5</v>
      </c>
      <c r="E5" s="123">
        <v>5</v>
      </c>
      <c r="F5" s="123">
        <v>0</v>
      </c>
      <c r="G5" s="123">
        <v>5</v>
      </c>
    </row>
    <row r="6" spans="1:7" x14ac:dyDescent="0.25">
      <c r="A6" s="99" t="s">
        <v>43</v>
      </c>
      <c r="B6" s="92">
        <v>5</v>
      </c>
      <c r="C6" s="122">
        <v>0</v>
      </c>
      <c r="D6" s="122">
        <v>-5</v>
      </c>
      <c r="E6" s="122">
        <v>5</v>
      </c>
      <c r="F6" s="122">
        <v>-5</v>
      </c>
      <c r="G6" s="122">
        <v>0</v>
      </c>
    </row>
    <row r="7" spans="1:7" x14ac:dyDescent="0.25">
      <c r="A7" s="99" t="s">
        <v>44</v>
      </c>
      <c r="B7" s="100">
        <v>0</v>
      </c>
      <c r="C7" s="123">
        <v>-5</v>
      </c>
      <c r="D7" s="123">
        <v>10</v>
      </c>
      <c r="E7" s="123">
        <v>15</v>
      </c>
      <c r="F7" s="123">
        <v>15</v>
      </c>
      <c r="G7" s="123">
        <v>0</v>
      </c>
    </row>
    <row r="8" spans="1:7" x14ac:dyDescent="0.25">
      <c r="A8" s="99" t="s">
        <v>45</v>
      </c>
      <c r="B8" s="92">
        <v>0</v>
      </c>
      <c r="C8" s="122">
        <v>-5</v>
      </c>
      <c r="D8" s="122">
        <v>10</v>
      </c>
      <c r="E8" s="122">
        <v>10</v>
      </c>
      <c r="F8" s="122">
        <v>15</v>
      </c>
      <c r="G8" s="122">
        <v>-5</v>
      </c>
    </row>
    <row r="9" spans="1:7" ht="3.75" customHeight="1" x14ac:dyDescent="0.25">
      <c r="A9" s="99"/>
      <c r="B9" s="100"/>
      <c r="C9" s="100"/>
      <c r="D9" s="100"/>
      <c r="E9" s="100"/>
      <c r="F9" s="100"/>
      <c r="G9" s="100"/>
    </row>
    <row r="10" spans="1:7" x14ac:dyDescent="0.25">
      <c r="A10" s="99" t="s">
        <v>46</v>
      </c>
      <c r="B10" s="92">
        <v>-5</v>
      </c>
      <c r="C10" s="92">
        <v>0</v>
      </c>
      <c r="D10" s="92">
        <v>0</v>
      </c>
      <c r="E10" s="92">
        <v>0</v>
      </c>
      <c r="F10" s="92">
        <v>5</v>
      </c>
      <c r="G10" s="92">
        <v>-5</v>
      </c>
    </row>
    <row r="11" spans="1:7" x14ac:dyDescent="0.25">
      <c r="A11" s="99" t="s">
        <v>47</v>
      </c>
      <c r="B11" s="100">
        <v>-10</v>
      </c>
      <c r="C11" s="100">
        <v>-5</v>
      </c>
      <c r="D11" s="100">
        <v>0</v>
      </c>
      <c r="E11" s="100">
        <v>0</v>
      </c>
      <c r="F11" s="100">
        <v>0</v>
      </c>
      <c r="G11" s="100">
        <v>-10</v>
      </c>
    </row>
    <row r="13" spans="1:7" x14ac:dyDescent="0.25">
      <c r="A13" s="332" t="s">
        <v>366</v>
      </c>
      <c r="B13" s="332"/>
      <c r="C13" s="332"/>
      <c r="D13" s="20" t="s">
        <v>373</v>
      </c>
      <c r="E13" s="20"/>
      <c r="F13" s="20"/>
      <c r="G13" s="20"/>
    </row>
    <row r="14" spans="1:7" x14ac:dyDescent="0.25">
      <c r="A14" t="s">
        <v>301</v>
      </c>
      <c r="B14" t="s">
        <v>360</v>
      </c>
      <c r="D14" s="55" t="s">
        <v>344</v>
      </c>
      <c r="E14" s="54" t="s">
        <v>357</v>
      </c>
    </row>
    <row r="15" spans="1:7" x14ac:dyDescent="0.25">
      <c r="A15" t="s">
        <v>301</v>
      </c>
      <c r="B15" t="s">
        <v>372</v>
      </c>
      <c r="D15" s="55" t="s">
        <v>410</v>
      </c>
      <c r="E15" s="60" t="s">
        <v>285</v>
      </c>
    </row>
    <row r="16" spans="1:7" x14ac:dyDescent="0.25">
      <c r="A16" t="s">
        <v>301</v>
      </c>
      <c r="B16" t="s">
        <v>367</v>
      </c>
      <c r="D16" s="55" t="s">
        <v>343</v>
      </c>
      <c r="E16" s="58" t="s">
        <v>345</v>
      </c>
    </row>
    <row r="17" spans="1:8" x14ac:dyDescent="0.25">
      <c r="A17" t="s">
        <v>301</v>
      </c>
      <c r="B17" t="s">
        <v>368</v>
      </c>
      <c r="D17" s="55" t="s">
        <v>346</v>
      </c>
      <c r="E17" s="60" t="s">
        <v>347</v>
      </c>
    </row>
    <row r="18" spans="1:8" x14ac:dyDescent="0.25">
      <c r="A18" t="s">
        <v>301</v>
      </c>
      <c r="B18" t="s">
        <v>371</v>
      </c>
      <c r="D18" s="55" t="s">
        <v>348</v>
      </c>
      <c r="E18" s="58" t="s">
        <v>349</v>
      </c>
    </row>
    <row r="19" spans="1:8" x14ac:dyDescent="0.25">
      <c r="A19" t="s">
        <v>302</v>
      </c>
      <c r="B19" t="s">
        <v>369</v>
      </c>
      <c r="D19" s="55" t="s">
        <v>350</v>
      </c>
      <c r="E19" s="60" t="s">
        <v>351</v>
      </c>
    </row>
    <row r="20" spans="1:8" x14ac:dyDescent="0.25">
      <c r="A20" t="s">
        <v>302</v>
      </c>
      <c r="B20" t="s">
        <v>370</v>
      </c>
      <c r="D20" s="29" t="s">
        <v>411</v>
      </c>
      <c r="E20" s="32" t="s">
        <v>352</v>
      </c>
    </row>
    <row r="23" spans="1:8" x14ac:dyDescent="0.25">
      <c r="A23" s="332" t="s">
        <v>333</v>
      </c>
      <c r="B23" s="332"/>
      <c r="D23" s="52" t="s">
        <v>355</v>
      </c>
      <c r="E23" s="53" t="s">
        <v>374</v>
      </c>
      <c r="F23" s="53" t="s">
        <v>365</v>
      </c>
      <c r="G23" s="53" t="s">
        <v>363</v>
      </c>
      <c r="H23" s="54" t="s">
        <v>362</v>
      </c>
    </row>
    <row r="24" spans="1:8" x14ac:dyDescent="0.25">
      <c r="A24" s="16" t="s">
        <v>301</v>
      </c>
      <c r="B24" s="16" t="s">
        <v>335</v>
      </c>
      <c r="D24" s="124" t="s">
        <v>337</v>
      </c>
      <c r="E24" s="125">
        <v>0</v>
      </c>
      <c r="F24" s="125">
        <v>0</v>
      </c>
      <c r="G24" s="125">
        <v>0</v>
      </c>
      <c r="H24" s="126">
        <v>0</v>
      </c>
    </row>
    <row r="25" spans="1:8" x14ac:dyDescent="0.25">
      <c r="A25" s="16" t="s">
        <v>301</v>
      </c>
      <c r="B25" s="16" t="s">
        <v>334</v>
      </c>
      <c r="D25" s="124">
        <v>-3</v>
      </c>
      <c r="E25" s="127" t="s">
        <v>316</v>
      </c>
      <c r="F25" s="127" t="s">
        <v>316</v>
      </c>
      <c r="G25" s="127" t="s">
        <v>316</v>
      </c>
      <c r="H25" s="128" t="s">
        <v>316</v>
      </c>
    </row>
    <row r="26" spans="1:8" x14ac:dyDescent="0.25">
      <c r="A26" s="16" t="s">
        <v>302</v>
      </c>
      <c r="B26" s="16" t="s">
        <v>336</v>
      </c>
      <c r="D26" s="124">
        <v>-2</v>
      </c>
      <c r="E26" s="125" t="s">
        <v>317</v>
      </c>
      <c r="F26" s="125" t="s">
        <v>317</v>
      </c>
      <c r="G26" s="125" t="s">
        <v>317</v>
      </c>
      <c r="H26" s="126" t="s">
        <v>317</v>
      </c>
    </row>
    <row r="27" spans="1:8" x14ac:dyDescent="0.25">
      <c r="D27" s="124">
        <v>-1</v>
      </c>
      <c r="E27" s="127" t="s">
        <v>318</v>
      </c>
      <c r="F27" s="127" t="s">
        <v>323</v>
      </c>
      <c r="G27" s="127" t="s">
        <v>319</v>
      </c>
      <c r="H27" s="128" t="s">
        <v>323</v>
      </c>
    </row>
    <row r="28" spans="1:8" x14ac:dyDescent="0.25">
      <c r="D28" s="124">
        <v>0</v>
      </c>
      <c r="E28" s="125" t="s">
        <v>327</v>
      </c>
      <c r="F28" s="125" t="s">
        <v>324</v>
      </c>
      <c r="G28" s="125" t="s">
        <v>320</v>
      </c>
      <c r="H28" s="126" t="s">
        <v>324</v>
      </c>
    </row>
    <row r="29" spans="1:8" x14ac:dyDescent="0.25">
      <c r="A29" s="332" t="s">
        <v>353</v>
      </c>
      <c r="B29" s="332"/>
      <c r="D29" s="124">
        <v>1</v>
      </c>
      <c r="E29" s="127" t="s">
        <v>321</v>
      </c>
      <c r="F29" s="127" t="s">
        <v>325</v>
      </c>
      <c r="G29" s="127" t="s">
        <v>328</v>
      </c>
      <c r="H29" s="128" t="s">
        <v>325</v>
      </c>
    </row>
    <row r="30" spans="1:8" x14ac:dyDescent="0.25">
      <c r="A30" s="16" t="s">
        <v>301</v>
      </c>
      <c r="B30" s="16" t="s">
        <v>336</v>
      </c>
      <c r="D30" s="124">
        <v>2</v>
      </c>
      <c r="E30" s="125" t="s">
        <v>322</v>
      </c>
      <c r="F30" s="125" t="s">
        <v>326</v>
      </c>
      <c r="G30" s="125" t="s">
        <v>329</v>
      </c>
      <c r="H30" s="126" t="s">
        <v>326</v>
      </c>
    </row>
    <row r="31" spans="1:8" x14ac:dyDescent="0.25">
      <c r="A31" s="16" t="s">
        <v>354</v>
      </c>
      <c r="B31" s="16" t="s">
        <v>334</v>
      </c>
      <c r="D31" s="124">
        <v>3</v>
      </c>
      <c r="E31" s="127" t="s">
        <v>339</v>
      </c>
      <c r="F31" s="127" t="s">
        <v>375</v>
      </c>
      <c r="G31" s="127" t="s">
        <v>330</v>
      </c>
      <c r="H31" s="128" t="s">
        <v>332</v>
      </c>
    </row>
    <row r="32" spans="1:8" x14ac:dyDescent="0.25">
      <c r="A32" s="16" t="s">
        <v>302</v>
      </c>
      <c r="B32" s="16" t="s">
        <v>335</v>
      </c>
      <c r="D32" s="124">
        <v>4</v>
      </c>
      <c r="E32" s="125" t="s">
        <v>331</v>
      </c>
      <c r="F32" s="125" t="s">
        <v>376</v>
      </c>
      <c r="G32" s="125" t="s">
        <v>331</v>
      </c>
      <c r="H32" s="126" t="s">
        <v>341</v>
      </c>
    </row>
    <row r="33" spans="4:8" x14ac:dyDescent="0.25">
      <c r="D33" s="118" t="s">
        <v>338</v>
      </c>
      <c r="E33" s="119" t="s">
        <v>340</v>
      </c>
      <c r="F33" s="119" t="s">
        <v>377</v>
      </c>
      <c r="G33" s="119" t="s">
        <v>340</v>
      </c>
      <c r="H33" s="120" t="s">
        <v>378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3.8" x14ac:dyDescent="0.2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25">
      <c r="A1" s="39" t="s">
        <v>412</v>
      </c>
      <c r="B1" s="129" t="s">
        <v>154</v>
      </c>
    </row>
    <row r="2" spans="1:6" x14ac:dyDescent="0.25">
      <c r="A2" s="130" t="s">
        <v>301</v>
      </c>
      <c r="B2" s="131" t="s">
        <v>379</v>
      </c>
    </row>
    <row r="3" spans="1:6" x14ac:dyDescent="0.25">
      <c r="A3" s="132" t="s">
        <v>301</v>
      </c>
      <c r="B3" s="133" t="s">
        <v>380</v>
      </c>
    </row>
    <row r="4" spans="1:6" x14ac:dyDescent="0.25">
      <c r="A4" s="130" t="s">
        <v>301</v>
      </c>
      <c r="B4" s="131" t="s">
        <v>381</v>
      </c>
    </row>
    <row r="5" spans="1:6" x14ac:dyDescent="0.25">
      <c r="A5" s="132" t="s">
        <v>301</v>
      </c>
      <c r="B5" s="133" t="s">
        <v>382</v>
      </c>
    </row>
    <row r="6" spans="1:6" x14ac:dyDescent="0.25">
      <c r="A6" s="130" t="s">
        <v>302</v>
      </c>
      <c r="B6" s="131" t="s">
        <v>307</v>
      </c>
    </row>
    <row r="7" spans="1:6" x14ac:dyDescent="0.25">
      <c r="A7" s="132" t="s">
        <v>302</v>
      </c>
      <c r="B7" s="133" t="s">
        <v>306</v>
      </c>
    </row>
    <row r="8" spans="1:6" x14ac:dyDescent="0.25">
      <c r="A8" s="130" t="s">
        <v>302</v>
      </c>
      <c r="B8" s="131" t="s">
        <v>383</v>
      </c>
    </row>
    <row r="9" spans="1:6" x14ac:dyDescent="0.25">
      <c r="A9" s="23" t="s">
        <v>302</v>
      </c>
      <c r="B9" s="24" t="s">
        <v>384</v>
      </c>
    </row>
    <row r="11" spans="1:6" ht="14.4" thickBot="1" x14ac:dyDescent="0.3">
      <c r="A11" s="134" t="s">
        <v>344</v>
      </c>
      <c r="B11" s="135" t="s">
        <v>357</v>
      </c>
      <c r="C11" s="135" t="s">
        <v>23</v>
      </c>
      <c r="D11" s="135" t="s">
        <v>24</v>
      </c>
      <c r="E11" s="135" t="s">
        <v>25</v>
      </c>
      <c r="F11" s="135" t="s">
        <v>26</v>
      </c>
    </row>
    <row r="12" spans="1:6" ht="14.4" thickTop="1" x14ac:dyDescent="0.25">
      <c r="A12" s="136" t="s">
        <v>410</v>
      </c>
      <c r="B12" s="137" t="s">
        <v>415</v>
      </c>
      <c r="C12" s="137" t="s">
        <v>467</v>
      </c>
      <c r="D12" s="137" t="s">
        <v>468</v>
      </c>
      <c r="E12" s="137" t="s">
        <v>471</v>
      </c>
      <c r="F12" s="137" t="s">
        <v>421</v>
      </c>
    </row>
    <row r="13" spans="1:6" x14ac:dyDescent="0.25">
      <c r="A13" s="138" t="s">
        <v>343</v>
      </c>
      <c r="B13" s="25" t="s">
        <v>416</v>
      </c>
      <c r="C13" s="25" t="s">
        <v>419</v>
      </c>
      <c r="D13" s="25" t="s">
        <v>469</v>
      </c>
      <c r="E13" s="25" t="s">
        <v>465</v>
      </c>
      <c r="F13" s="25" t="s">
        <v>421</v>
      </c>
    </row>
    <row r="14" spans="1:6" x14ac:dyDescent="0.25">
      <c r="A14" s="138" t="s">
        <v>346</v>
      </c>
      <c r="B14" s="139" t="s">
        <v>413</v>
      </c>
      <c r="C14" s="139" t="s">
        <v>422</v>
      </c>
      <c r="D14" s="139" t="s">
        <v>470</v>
      </c>
      <c r="E14" s="139" t="s">
        <v>423</v>
      </c>
      <c r="F14" s="139" t="s">
        <v>421</v>
      </c>
    </row>
    <row r="15" spans="1:6" x14ac:dyDescent="0.25">
      <c r="A15" s="138" t="s">
        <v>348</v>
      </c>
      <c r="B15" s="25" t="s">
        <v>417</v>
      </c>
      <c r="C15" s="25" t="s">
        <v>424</v>
      </c>
      <c r="D15" s="25" t="s">
        <v>425</v>
      </c>
      <c r="E15" s="25" t="s">
        <v>429</v>
      </c>
      <c r="F15" s="25" t="s">
        <v>421</v>
      </c>
    </row>
    <row r="16" spans="1:6" x14ac:dyDescent="0.25">
      <c r="A16" s="138" t="s">
        <v>350</v>
      </c>
      <c r="B16" s="139" t="s">
        <v>418</v>
      </c>
      <c r="C16" s="139" t="s">
        <v>426</v>
      </c>
      <c r="D16" s="139" t="s">
        <v>427</v>
      </c>
      <c r="E16" s="139" t="s">
        <v>428</v>
      </c>
      <c r="F16" s="139" t="s">
        <v>421</v>
      </c>
    </row>
    <row r="17" spans="1:7" x14ac:dyDescent="0.25">
      <c r="A17" s="138" t="s">
        <v>411</v>
      </c>
      <c r="B17" s="25" t="s">
        <v>414</v>
      </c>
      <c r="C17" s="25" t="s">
        <v>480</v>
      </c>
      <c r="D17" s="25" t="s">
        <v>481</v>
      </c>
      <c r="E17" s="25" t="s">
        <v>482</v>
      </c>
      <c r="F17" s="25" t="s">
        <v>421</v>
      </c>
    </row>
    <row r="19" spans="1:7" ht="14.4" thickBot="1" x14ac:dyDescent="0.3">
      <c r="A19" s="140" t="s">
        <v>344</v>
      </c>
      <c r="B19" s="141" t="s">
        <v>357</v>
      </c>
      <c r="C19" s="75" t="s">
        <v>27</v>
      </c>
      <c r="D19" s="75" t="s">
        <v>28</v>
      </c>
      <c r="E19" s="75" t="s">
        <v>29</v>
      </c>
      <c r="F19" s="75" t="s">
        <v>30</v>
      </c>
      <c r="G19" s="75" t="s">
        <v>26</v>
      </c>
    </row>
    <row r="20" spans="1:7" ht="31.8" thickTop="1" x14ac:dyDescent="0.25">
      <c r="A20" s="142" t="s">
        <v>410</v>
      </c>
      <c r="B20" s="143" t="s">
        <v>415</v>
      </c>
      <c r="C20" s="144" t="s">
        <v>466</v>
      </c>
      <c r="D20" s="144" t="s">
        <v>430</v>
      </c>
      <c r="E20" s="144" t="s">
        <v>476</v>
      </c>
      <c r="F20" s="144" t="s">
        <v>479</v>
      </c>
      <c r="G20" s="144" t="s">
        <v>421</v>
      </c>
    </row>
    <row r="21" spans="1:7" x14ac:dyDescent="0.25">
      <c r="A21" s="145" t="s">
        <v>343</v>
      </c>
      <c r="B21" s="146" t="s">
        <v>416</v>
      </c>
      <c r="C21" s="26" t="s">
        <v>431</v>
      </c>
      <c r="D21" s="26" t="s">
        <v>432</v>
      </c>
      <c r="E21" s="26" t="s">
        <v>433</v>
      </c>
      <c r="F21" s="26" t="s">
        <v>434</v>
      </c>
      <c r="G21" s="26" t="s">
        <v>421</v>
      </c>
    </row>
    <row r="22" spans="1:7" x14ac:dyDescent="0.25">
      <c r="A22" s="145" t="s">
        <v>346</v>
      </c>
      <c r="B22" s="147" t="s">
        <v>413</v>
      </c>
      <c r="C22" s="148" t="s">
        <v>435</v>
      </c>
      <c r="D22" s="148" t="s">
        <v>436</v>
      </c>
      <c r="E22" s="148" t="s">
        <v>437</v>
      </c>
      <c r="F22" s="148" t="s">
        <v>438</v>
      </c>
      <c r="G22" s="148" t="s">
        <v>421</v>
      </c>
    </row>
    <row r="23" spans="1:7" ht="21" x14ac:dyDescent="0.25">
      <c r="A23" s="145" t="s">
        <v>348</v>
      </c>
      <c r="B23" s="146" t="s">
        <v>417</v>
      </c>
      <c r="C23" s="26" t="s">
        <v>439</v>
      </c>
      <c r="D23" s="26" t="s">
        <v>440</v>
      </c>
      <c r="E23" s="26" t="s">
        <v>477</v>
      </c>
      <c r="F23" s="26" t="s">
        <v>441</v>
      </c>
      <c r="G23" s="26" t="s">
        <v>421</v>
      </c>
    </row>
    <row r="24" spans="1:7" x14ac:dyDescent="0.25">
      <c r="A24" s="145" t="s">
        <v>350</v>
      </c>
      <c r="B24" s="147" t="s">
        <v>418</v>
      </c>
      <c r="C24" s="148" t="s">
        <v>442</v>
      </c>
      <c r="D24" s="148" t="s">
        <v>443</v>
      </c>
      <c r="E24" s="148" t="s">
        <v>444</v>
      </c>
      <c r="F24" s="148" t="s">
        <v>445</v>
      </c>
      <c r="G24" s="148" t="s">
        <v>421</v>
      </c>
    </row>
    <row r="25" spans="1:7" ht="31.2" x14ac:dyDescent="0.25">
      <c r="A25" s="145" t="s">
        <v>411</v>
      </c>
      <c r="B25" s="146" t="s">
        <v>414</v>
      </c>
      <c r="C25" s="26" t="s">
        <v>483</v>
      </c>
      <c r="D25" s="26" t="s">
        <v>484</v>
      </c>
      <c r="E25" s="26" t="s">
        <v>478</v>
      </c>
      <c r="F25" s="26" t="s">
        <v>446</v>
      </c>
      <c r="G25" s="26" t="s">
        <v>421</v>
      </c>
    </row>
    <row r="27" spans="1:7" ht="14.4" thickBot="1" x14ac:dyDescent="0.3">
      <c r="A27" s="149" t="s">
        <v>344</v>
      </c>
      <c r="B27" s="150" t="s">
        <v>357</v>
      </c>
      <c r="C27" s="109" t="s">
        <v>31</v>
      </c>
      <c r="D27" s="109" t="s">
        <v>35</v>
      </c>
      <c r="E27" s="109" t="s">
        <v>36</v>
      </c>
      <c r="F27" s="109" t="s">
        <v>37</v>
      </c>
      <c r="G27" s="109" t="s">
        <v>26</v>
      </c>
    </row>
    <row r="28" spans="1:7" ht="21.6" thickTop="1" x14ac:dyDescent="0.25">
      <c r="A28" s="151" t="s">
        <v>410</v>
      </c>
      <c r="B28" s="152" t="s">
        <v>415</v>
      </c>
      <c r="C28" s="152" t="s">
        <v>473</v>
      </c>
      <c r="D28" s="152" t="s">
        <v>451</v>
      </c>
      <c r="E28" s="152" t="s">
        <v>456</v>
      </c>
      <c r="F28" s="152" t="s">
        <v>461</v>
      </c>
      <c r="G28" s="152" t="s">
        <v>421</v>
      </c>
    </row>
    <row r="29" spans="1:7" x14ac:dyDescent="0.25">
      <c r="A29" s="153" t="s">
        <v>472</v>
      </c>
      <c r="B29" s="27" t="s">
        <v>416</v>
      </c>
      <c r="C29" s="27" t="s">
        <v>447</v>
      </c>
      <c r="D29" s="27" t="s">
        <v>453</v>
      </c>
      <c r="E29" s="27" t="s">
        <v>457</v>
      </c>
      <c r="F29" s="27" t="s">
        <v>420</v>
      </c>
      <c r="G29" s="27" t="s">
        <v>421</v>
      </c>
    </row>
    <row r="30" spans="1:7" ht="21" x14ac:dyDescent="0.25">
      <c r="A30" s="153" t="s">
        <v>346</v>
      </c>
      <c r="B30" s="154" t="s">
        <v>413</v>
      </c>
      <c r="C30" s="154" t="s">
        <v>448</v>
      </c>
      <c r="D30" s="154" t="s">
        <v>452</v>
      </c>
      <c r="E30" s="154" t="s">
        <v>458</v>
      </c>
      <c r="F30" s="154" t="s">
        <v>462</v>
      </c>
      <c r="G30" s="154" t="s">
        <v>421</v>
      </c>
    </row>
    <row r="31" spans="1:7" x14ac:dyDescent="0.25">
      <c r="A31" s="153" t="s">
        <v>348</v>
      </c>
      <c r="B31" s="27" t="s">
        <v>417</v>
      </c>
      <c r="C31" s="27" t="s">
        <v>449</v>
      </c>
      <c r="D31" s="27" t="s">
        <v>454</v>
      </c>
      <c r="E31" s="27" t="s">
        <v>459</v>
      </c>
      <c r="F31" s="27" t="s">
        <v>422</v>
      </c>
      <c r="G31" s="27" t="s">
        <v>421</v>
      </c>
    </row>
    <row r="32" spans="1:7" x14ac:dyDescent="0.25">
      <c r="A32" s="153" t="s">
        <v>350</v>
      </c>
      <c r="B32" s="154" t="s">
        <v>418</v>
      </c>
      <c r="C32" s="154" t="s">
        <v>450</v>
      </c>
      <c r="D32" s="154" t="s">
        <v>455</v>
      </c>
      <c r="E32" s="154" t="s">
        <v>460</v>
      </c>
      <c r="F32" s="154" t="s">
        <v>463</v>
      </c>
      <c r="G32" s="154" t="s">
        <v>421</v>
      </c>
    </row>
    <row r="33" spans="1:7" ht="21" x14ac:dyDescent="0.25">
      <c r="A33" s="153" t="s">
        <v>411</v>
      </c>
      <c r="B33" s="27" t="s">
        <v>414</v>
      </c>
      <c r="C33" s="27" t="s">
        <v>474</v>
      </c>
      <c r="D33" s="27" t="s">
        <v>475</v>
      </c>
      <c r="E33" s="27" t="s">
        <v>475</v>
      </c>
      <c r="F33" s="27" t="s">
        <v>464</v>
      </c>
      <c r="G33" s="27" t="s">
        <v>421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206</vt:i4>
      </vt:variant>
    </vt:vector>
  </HeadingPairs>
  <TitlesOfParts>
    <vt:vector size="217" baseType="lpstr">
      <vt:lpstr>Character Sheet</vt:lpstr>
      <vt:lpstr>Skills</vt:lpstr>
      <vt:lpstr>Apprenticeships</vt:lpstr>
      <vt:lpstr>Starting Skills</vt:lpstr>
      <vt:lpstr>Racial Bonuses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Berserker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Orc</vt:lpstr>
      <vt:lpstr>OrcResistances</vt:lpstr>
      <vt:lpstr>OrcStats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2018-09-16T16:36:09Z</dcterms:modified>
</cp:coreProperties>
</file>